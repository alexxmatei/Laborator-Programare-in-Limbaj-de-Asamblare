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2109aac67f9efab/[Folders]/Repositories/Tasm/Excel-Program-Generator/"/>
    </mc:Choice>
  </mc:AlternateContent>
  <xr:revisionPtr revIDLastSave="48865" documentId="109_{E1F0B64C-80DE-4946-BCB8-8405C48D8E2D}" xr6:coauthVersionLast="46" xr6:coauthVersionMax="46" xr10:uidLastSave="{E3E82822-2A0D-4068-B556-45811BF1814C}"/>
  <bookViews>
    <workbookView xWindow="-120" yWindow="-120" windowWidth="29040" windowHeight="16440" activeTab="1" xr2:uid="{8BB2A35B-5B27-41CC-8776-168F86BB9C74}"/>
  </bookViews>
  <sheets>
    <sheet name="PasteBin" sheetId="18" r:id="rId1"/>
    <sheet name="Code Generator" sheetId="23" r:id="rId2"/>
    <sheet name="Test Subject Generator" sheetId="25" r:id="rId3"/>
    <sheet name="BackEnd" sheetId="20" r:id="rId4"/>
    <sheet name="Sheet2 (14)" sheetId="16" r:id="rId5"/>
    <sheet name="Sheet2 (13)" sheetId="15" r:id="rId6"/>
    <sheet name="Sheet2 (12)" sheetId="14" r:id="rId7"/>
    <sheet name="Sheet2 (11)" sheetId="13" r:id="rId8"/>
    <sheet name="Sheet2 (10)" sheetId="12" r:id="rId9"/>
    <sheet name="Sheet2 (8)" sheetId="10" r:id="rId10"/>
    <sheet name="Sheet1" sheetId="1" r:id="rId11"/>
    <sheet name="Sheet2" sheetId="2" r:id="rId12"/>
    <sheet name="Sheet2 (2)" sheetId="4" r:id="rId13"/>
    <sheet name="Sheet2 (3)" sheetId="5" r:id="rId14"/>
    <sheet name="Sheet2 (4)" sheetId="6" r:id="rId15"/>
    <sheet name="Sheet2 (5)" sheetId="7" r:id="rId16"/>
    <sheet name="Sheet2 (6)" sheetId="8" r:id="rId17"/>
    <sheet name="Sheet2 (7)" sheetId="9" r:id="rId18"/>
    <sheet name="Sheet2 (9)" sheetId="11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90" i="23" l="1"/>
  <c r="E29" i="23" s="1" a="1"/>
  <c r="E29" i="23" s="1"/>
  <c r="C29" i="23" s="1"/>
  <c r="C104" i="25"/>
  <c r="E104" i="25" s="1"/>
  <c r="C167" i="25"/>
  <c r="E24" i="25" s="1" a="1"/>
  <c r="E24" i="25" s="1"/>
  <c r="C24" i="25" s="1"/>
  <c r="C149" i="25" a="1"/>
  <c r="C149" i="25" s="1"/>
  <c r="C30" i="25" s="1"/>
  <c r="C148" i="25" a="1"/>
  <c r="C148" i="25" s="1"/>
  <c r="C138" i="25" a="1"/>
  <c r="C138" i="25" s="1"/>
  <c r="C52" i="25" s="1"/>
  <c r="C126" i="25"/>
  <c r="C125" i="25"/>
  <c r="C124" i="25"/>
  <c r="C123" i="25"/>
  <c r="C122" i="25"/>
  <c r="C121" i="25"/>
  <c r="C120" i="25"/>
  <c r="C119" i="25"/>
  <c r="C114" i="25"/>
  <c r="C116" i="25" s="1"/>
  <c r="C10" i="25" s="1"/>
  <c r="C112" i="25"/>
  <c r="E112" i="25" s="1"/>
  <c r="E13" i="25" s="1"/>
  <c r="C111" i="25"/>
  <c r="E111" i="25" s="1"/>
  <c r="E17" i="25" s="1"/>
  <c r="C17" i="25" s="1"/>
  <c r="C109" i="25"/>
  <c r="E109" i="25" s="1"/>
  <c r="C42" i="25" s="1"/>
  <c r="C107" i="25"/>
  <c r="E107" i="25" s="1"/>
  <c r="C106" i="25"/>
  <c r="E106" i="25" s="1"/>
  <c r="C105" i="25"/>
  <c r="E105" i="25" s="1"/>
  <c r="E12" i="25" s="1"/>
  <c r="C102" i="25"/>
  <c r="E102" i="25" s="1"/>
  <c r="C101" i="25"/>
  <c r="E101" i="25" s="1"/>
  <c r="C100" i="25"/>
  <c r="E100" i="25" s="1"/>
  <c r="E14" i="25" s="1"/>
  <c r="C99" i="25"/>
  <c r="E99" i="25" s="1"/>
  <c r="E16" i="25" s="1"/>
  <c r="C97" i="25"/>
  <c r="E97" i="25" s="1"/>
  <c r="E78" i="25"/>
  <c r="E70" i="25"/>
  <c r="C70" i="25" s="1"/>
  <c r="C68" i="25"/>
  <c r="E65" i="25"/>
  <c r="C65" i="25" s="1"/>
  <c r="C63" i="25"/>
  <c r="C51" i="25"/>
  <c r="C48" i="25"/>
  <c r="C47" i="25"/>
  <c r="C172" i="23" a="1"/>
  <c r="C172" i="23" s="1"/>
  <c r="C53" i="23" s="1"/>
  <c r="C171" i="23" a="1"/>
  <c r="C171" i="23" s="1"/>
  <c r="C30" i="23" s="1"/>
  <c r="C161" i="23" a="1"/>
  <c r="C161" i="23" s="1"/>
  <c r="C75" i="23" s="1"/>
  <c r="C149" i="23"/>
  <c r="C148" i="23"/>
  <c r="C147" i="23"/>
  <c r="C146" i="23"/>
  <c r="C145" i="23"/>
  <c r="C144" i="23"/>
  <c r="C143" i="23"/>
  <c r="C142" i="23"/>
  <c r="C152" i="23" s="1" a="1"/>
  <c r="C152" i="23" s="1"/>
  <c r="C11" i="23" s="1"/>
  <c r="C137" i="23"/>
  <c r="C139" i="23" s="1"/>
  <c r="C14" i="23" s="1"/>
  <c r="C135" i="23"/>
  <c r="E135" i="23" s="1"/>
  <c r="E16" i="23" s="1"/>
  <c r="C134" i="23"/>
  <c r="E134" i="23" s="1"/>
  <c r="E21" i="23" s="1"/>
  <c r="C21" i="23" s="1"/>
  <c r="C132" i="23"/>
  <c r="E132" i="23" s="1"/>
  <c r="C65" i="23" s="1"/>
  <c r="C130" i="23"/>
  <c r="E130" i="23" s="1"/>
  <c r="C129" i="23"/>
  <c r="E129" i="23" s="1"/>
  <c r="C128" i="23"/>
  <c r="E128" i="23" s="1"/>
  <c r="C127" i="23"/>
  <c r="E127" i="23" s="1"/>
  <c r="E20" i="23" s="1"/>
  <c r="C125" i="23"/>
  <c r="E125" i="23" s="1"/>
  <c r="C124" i="23"/>
  <c r="E124" i="23" s="1"/>
  <c r="C123" i="23"/>
  <c r="E123" i="23" s="1"/>
  <c r="E17" i="23" s="1"/>
  <c r="C122" i="23"/>
  <c r="E122" i="23" s="1"/>
  <c r="E18" i="23" s="1"/>
  <c r="C120" i="23"/>
  <c r="E120" i="23" s="1"/>
  <c r="E101" i="23"/>
  <c r="E93" i="23"/>
  <c r="C93" i="23" s="1"/>
  <c r="C91" i="23"/>
  <c r="E88" i="23"/>
  <c r="C88" i="23" s="1"/>
  <c r="C86" i="23"/>
  <c r="C74" i="23"/>
  <c r="C71" i="23"/>
  <c r="C70" i="23"/>
  <c r="C173" i="16" a="1"/>
  <c r="C173" i="16" s="1"/>
  <c r="C52" i="16" s="1"/>
  <c r="C172" i="16" a="1"/>
  <c r="C172" i="16" s="1"/>
  <c r="C162" i="16" a="1"/>
  <c r="C162" i="16" s="1"/>
  <c r="C73" i="16" s="1"/>
  <c r="C150" i="16"/>
  <c r="C149" i="16"/>
  <c r="C148" i="16"/>
  <c r="C147" i="16"/>
  <c r="C146" i="16"/>
  <c r="C145" i="16"/>
  <c r="C144" i="16"/>
  <c r="C143" i="16"/>
  <c r="C153" i="16" s="1" a="1"/>
  <c r="C153" i="16" s="1"/>
  <c r="C11" i="16" s="1"/>
  <c r="C138" i="16"/>
  <c r="C140" i="16" s="1"/>
  <c r="C14" i="16" s="1"/>
  <c r="C136" i="16"/>
  <c r="E136" i="16" s="1"/>
  <c r="E19" i="16" s="1"/>
  <c r="C135" i="16"/>
  <c r="E135" i="16" s="1"/>
  <c r="E21" i="16" s="1"/>
  <c r="C21" i="16" s="1"/>
  <c r="C133" i="16"/>
  <c r="E133" i="16" s="1"/>
  <c r="C63" i="16" s="1"/>
  <c r="C131" i="16"/>
  <c r="E131" i="16" s="1"/>
  <c r="C130" i="16"/>
  <c r="E130" i="16" s="1"/>
  <c r="C129" i="16"/>
  <c r="E129" i="16" s="1"/>
  <c r="E20" i="16" s="1"/>
  <c r="C128" i="16"/>
  <c r="E128" i="16" s="1"/>
  <c r="E18" i="16" s="1"/>
  <c r="C126" i="16"/>
  <c r="E126" i="16" s="1"/>
  <c r="C125" i="16"/>
  <c r="E125" i="16" s="1"/>
  <c r="C123" i="16"/>
  <c r="E123" i="16" s="1"/>
  <c r="C122" i="16"/>
  <c r="E122" i="16" s="1"/>
  <c r="C121" i="16"/>
  <c r="E121" i="16" s="1"/>
  <c r="E17" i="16" s="1"/>
  <c r="C120" i="16"/>
  <c r="E120" i="16" s="1"/>
  <c r="E16" i="16" s="1"/>
  <c r="C118" i="16"/>
  <c r="E118" i="16" s="1"/>
  <c r="E99" i="16"/>
  <c r="E91" i="16"/>
  <c r="C91" i="16" s="1"/>
  <c r="C89" i="16"/>
  <c r="E86" i="16"/>
  <c r="C86" i="16" s="1"/>
  <c r="C84" i="16"/>
  <c r="C72" i="16"/>
  <c r="C69" i="16"/>
  <c r="C68" i="16"/>
  <c r="C173" i="15" a="1"/>
  <c r="C173" i="15" s="1"/>
  <c r="C52" i="15" s="1"/>
  <c r="C172" i="15" a="1"/>
  <c r="C172" i="15" s="1"/>
  <c r="C162" i="15" a="1"/>
  <c r="C162" i="15" s="1"/>
  <c r="C73" i="15" s="1"/>
  <c r="C150" i="15"/>
  <c r="C149" i="15"/>
  <c r="C148" i="15"/>
  <c r="C147" i="15"/>
  <c r="C146" i="15"/>
  <c r="C145" i="15"/>
  <c r="C144" i="15"/>
  <c r="C143" i="15"/>
  <c r="C153" i="15" s="1" a="1"/>
  <c r="C153" i="15" s="1"/>
  <c r="C11" i="15" s="1"/>
  <c r="C138" i="15"/>
  <c r="C140" i="15" s="1"/>
  <c r="C14" i="15" s="1"/>
  <c r="C136" i="15"/>
  <c r="E136" i="15" s="1"/>
  <c r="C135" i="15"/>
  <c r="E135" i="15" s="1"/>
  <c r="E21" i="15" s="1"/>
  <c r="C21" i="15" s="1"/>
  <c r="C133" i="15"/>
  <c r="E133" i="15" s="1"/>
  <c r="C63" i="15" s="1"/>
  <c r="C131" i="15"/>
  <c r="E131" i="15" s="1"/>
  <c r="C130" i="15"/>
  <c r="E130" i="15" s="1"/>
  <c r="C129" i="15"/>
  <c r="E129" i="15" s="1"/>
  <c r="E19" i="15" s="1"/>
  <c r="C128" i="15"/>
  <c r="E128" i="15" s="1"/>
  <c r="E17" i="15" s="1"/>
  <c r="C126" i="15"/>
  <c r="E126" i="15" s="1"/>
  <c r="C125" i="15"/>
  <c r="E125" i="15" s="1"/>
  <c r="C123" i="15"/>
  <c r="E123" i="15" s="1"/>
  <c r="C122" i="15"/>
  <c r="E122" i="15" s="1"/>
  <c r="C121" i="15"/>
  <c r="E121" i="15" s="1"/>
  <c r="E18" i="15" s="1"/>
  <c r="C120" i="15"/>
  <c r="E120" i="15" s="1"/>
  <c r="E20" i="15" s="1"/>
  <c r="C118" i="15"/>
  <c r="E118" i="15" s="1"/>
  <c r="E99" i="15"/>
  <c r="E91" i="15"/>
  <c r="C91" i="15" s="1"/>
  <c r="C89" i="15"/>
  <c r="E86" i="15"/>
  <c r="C86" i="15" s="1"/>
  <c r="C84" i="15"/>
  <c r="C72" i="15"/>
  <c r="C69" i="15"/>
  <c r="C68" i="15"/>
  <c r="C68" i="14"/>
  <c r="C69" i="14"/>
  <c r="C136" i="14"/>
  <c r="E136" i="14" s="1"/>
  <c r="E20" i="14" s="1"/>
  <c r="C173" i="14" a="1"/>
  <c r="C173" i="14" s="1"/>
  <c r="C52" i="14" s="1"/>
  <c r="C172" i="14" a="1"/>
  <c r="C172" i="14" s="1"/>
  <c r="C162" i="14" a="1"/>
  <c r="C162" i="14" s="1"/>
  <c r="C73" i="14" s="1"/>
  <c r="C150" i="14"/>
  <c r="C149" i="14"/>
  <c r="C148" i="14"/>
  <c r="C147" i="14"/>
  <c r="C146" i="14"/>
  <c r="C145" i="14"/>
  <c r="C144" i="14"/>
  <c r="C143" i="14"/>
  <c r="C153" i="14" s="1" a="1"/>
  <c r="C153" i="14" s="1"/>
  <c r="C11" i="14" s="1"/>
  <c r="C138" i="14"/>
  <c r="C140" i="14" s="1"/>
  <c r="C14" i="14" s="1"/>
  <c r="C135" i="14"/>
  <c r="E135" i="14" s="1"/>
  <c r="C133" i="14"/>
  <c r="E133" i="14" s="1"/>
  <c r="C63" i="14" s="1"/>
  <c r="C131" i="14"/>
  <c r="E131" i="14" s="1"/>
  <c r="C130" i="14"/>
  <c r="E130" i="14" s="1"/>
  <c r="C129" i="14"/>
  <c r="E129" i="14" s="1"/>
  <c r="E19" i="14" s="1"/>
  <c r="C128" i="14"/>
  <c r="E128" i="14" s="1"/>
  <c r="C126" i="14"/>
  <c r="E126" i="14" s="1"/>
  <c r="C125" i="14"/>
  <c r="E125" i="14" s="1"/>
  <c r="C123" i="14"/>
  <c r="E123" i="14" s="1"/>
  <c r="C122" i="14"/>
  <c r="E122" i="14" s="1"/>
  <c r="C121" i="14"/>
  <c r="E121" i="14" s="1"/>
  <c r="E18" i="14" s="1"/>
  <c r="C120" i="14"/>
  <c r="E120" i="14" s="1"/>
  <c r="E16" i="14" s="1"/>
  <c r="C118" i="14"/>
  <c r="E118" i="14" s="1"/>
  <c r="E99" i="14"/>
  <c r="E91" i="14"/>
  <c r="C91" i="14" s="1"/>
  <c r="C89" i="14"/>
  <c r="E86" i="14"/>
  <c r="C86" i="14" s="1"/>
  <c r="C84" i="14"/>
  <c r="C72" i="14"/>
  <c r="C171" i="13" a="1"/>
  <c r="C171" i="13" s="1"/>
  <c r="C51" i="13" s="1"/>
  <c r="C170" i="13" a="1"/>
  <c r="C170" i="13" s="1"/>
  <c r="C160" i="13" a="1"/>
  <c r="C160" i="13" s="1"/>
  <c r="C72" i="13" s="1"/>
  <c r="C148" i="13"/>
  <c r="C147" i="13"/>
  <c r="C146" i="13"/>
  <c r="C145" i="13"/>
  <c r="C144" i="13"/>
  <c r="C143" i="13"/>
  <c r="C142" i="13"/>
  <c r="C141" i="13"/>
  <c r="C151" i="13" s="1" a="1"/>
  <c r="C151" i="13" s="1"/>
  <c r="C11" i="13" s="1"/>
  <c r="C136" i="13"/>
  <c r="C138" i="13" s="1"/>
  <c r="C14" i="13" s="1"/>
  <c r="C134" i="13"/>
  <c r="E134" i="13" s="1"/>
  <c r="E20" i="13" s="1"/>
  <c r="C132" i="13"/>
  <c r="E132" i="13" s="1"/>
  <c r="C62" i="13" s="1"/>
  <c r="C130" i="13"/>
  <c r="E130" i="13" s="1"/>
  <c r="C129" i="13"/>
  <c r="E129" i="13" s="1"/>
  <c r="C128" i="13"/>
  <c r="E128" i="13" s="1"/>
  <c r="E17" i="13" s="1"/>
  <c r="C127" i="13"/>
  <c r="E127" i="13" s="1"/>
  <c r="C125" i="13"/>
  <c r="E125" i="13" s="1"/>
  <c r="C124" i="13"/>
  <c r="E124" i="13" s="1"/>
  <c r="C122" i="13"/>
  <c r="E122" i="13" s="1"/>
  <c r="C121" i="13"/>
  <c r="E121" i="13" s="1"/>
  <c r="C120" i="13"/>
  <c r="E120" i="13" s="1"/>
  <c r="E19" i="13" s="1"/>
  <c r="C119" i="13"/>
  <c r="E119" i="13" s="1"/>
  <c r="E18" i="13" s="1"/>
  <c r="C117" i="13"/>
  <c r="E117" i="13" s="1"/>
  <c r="E98" i="13"/>
  <c r="E90" i="13"/>
  <c r="C90" i="13" s="1"/>
  <c r="C88" i="13"/>
  <c r="E85" i="13"/>
  <c r="C85" i="13" s="1"/>
  <c r="C83" i="13"/>
  <c r="C71" i="13"/>
  <c r="C68" i="13"/>
  <c r="E98" i="12"/>
  <c r="C171" i="12" a="1"/>
  <c r="C171" i="12" s="1"/>
  <c r="C51" i="12" s="1"/>
  <c r="C170" i="12" a="1"/>
  <c r="C170" i="12" s="1"/>
  <c r="C160" i="12" a="1"/>
  <c r="C160" i="12" s="1"/>
  <c r="C72" i="12" s="1"/>
  <c r="C148" i="12"/>
  <c r="C147" i="12"/>
  <c r="C146" i="12"/>
  <c r="C145" i="12"/>
  <c r="C144" i="12"/>
  <c r="C143" i="12"/>
  <c r="C142" i="12"/>
  <c r="C141" i="12"/>
  <c r="C136" i="12"/>
  <c r="C138" i="12" s="1"/>
  <c r="C14" i="12" s="1"/>
  <c r="C134" i="12"/>
  <c r="E134" i="12" s="1"/>
  <c r="C20" i="12" s="1"/>
  <c r="C132" i="12"/>
  <c r="E132" i="12" s="1"/>
  <c r="C62" i="12" s="1"/>
  <c r="C130" i="12"/>
  <c r="E130" i="12" s="1"/>
  <c r="C129" i="12"/>
  <c r="E129" i="12" s="1"/>
  <c r="C128" i="12"/>
  <c r="E128" i="12" s="1"/>
  <c r="C17" i="12" s="1"/>
  <c r="C127" i="12"/>
  <c r="E127" i="12" s="1"/>
  <c r="C16" i="12" s="1"/>
  <c r="C125" i="12"/>
  <c r="E125" i="12" s="1"/>
  <c r="C124" i="12"/>
  <c r="E124" i="12" s="1"/>
  <c r="C122" i="12"/>
  <c r="E122" i="12" s="1"/>
  <c r="C121" i="12"/>
  <c r="E121" i="12" s="1"/>
  <c r="C98" i="12" s="1"/>
  <c r="C120" i="12"/>
  <c r="E120" i="12" s="1"/>
  <c r="C19" i="12" s="1"/>
  <c r="C119" i="12"/>
  <c r="E119" i="12" s="1"/>
  <c r="C18" i="12" s="1"/>
  <c r="C117" i="12"/>
  <c r="E117" i="12" s="1"/>
  <c r="E90" i="12"/>
  <c r="C90" i="12" s="1"/>
  <c r="C88" i="12"/>
  <c r="E85" i="12"/>
  <c r="C85" i="12" s="1"/>
  <c r="C83" i="12"/>
  <c r="C71" i="12"/>
  <c r="C68" i="12"/>
  <c r="F99" i="11"/>
  <c r="C122" i="11"/>
  <c r="E122" i="11" s="1"/>
  <c r="F101" i="11"/>
  <c r="E101" i="11" s="1" a="1"/>
  <c r="E101" i="11" s="1"/>
  <c r="F100" i="11"/>
  <c r="E100" i="11" s="1" a="1"/>
  <c r="E100" i="11" s="1"/>
  <c r="C130" i="11"/>
  <c r="E130" i="11" s="1"/>
  <c r="C68" i="11"/>
  <c r="C71" i="11"/>
  <c r="C83" i="11"/>
  <c r="C88" i="11"/>
  <c r="C129" i="11"/>
  <c r="E129" i="11" s="1"/>
  <c r="C99" i="11" s="1"/>
  <c r="C121" i="11"/>
  <c r="E121" i="11" s="1"/>
  <c r="C98" i="11" s="1"/>
  <c r="C171" i="11" a="1"/>
  <c r="C171" i="11" s="1"/>
  <c r="C51" i="11" s="1"/>
  <c r="E85" i="11"/>
  <c r="C85" i="11" s="1"/>
  <c r="E90" i="11"/>
  <c r="C90" i="11" s="1"/>
  <c r="C170" i="11" a="1"/>
  <c r="C170" i="11" s="1"/>
  <c r="C5" i="11" s="1"/>
  <c r="C160" i="11" a="1"/>
  <c r="C160" i="11" s="1"/>
  <c r="C72" i="11" s="1"/>
  <c r="C148" i="11"/>
  <c r="C147" i="11"/>
  <c r="C146" i="11"/>
  <c r="C145" i="11"/>
  <c r="C144" i="11"/>
  <c r="C143" i="11"/>
  <c r="C142" i="11"/>
  <c r="C141" i="11"/>
  <c r="C136" i="11"/>
  <c r="C138" i="11" s="1"/>
  <c r="C14" i="11" s="1"/>
  <c r="C134" i="11"/>
  <c r="E134" i="11" s="1"/>
  <c r="C20" i="11" s="1"/>
  <c r="C132" i="11"/>
  <c r="E132" i="11" s="1"/>
  <c r="C62" i="11" s="1"/>
  <c r="C128" i="11"/>
  <c r="E128" i="11" s="1"/>
  <c r="C17" i="11" s="1"/>
  <c r="C127" i="11"/>
  <c r="E127" i="11" s="1"/>
  <c r="C16" i="11" s="1"/>
  <c r="C125" i="11"/>
  <c r="E125" i="11" s="1"/>
  <c r="C124" i="11"/>
  <c r="E124" i="11" s="1"/>
  <c r="C120" i="11"/>
  <c r="E120" i="11" s="1"/>
  <c r="C19" i="11" s="1"/>
  <c r="C119" i="11"/>
  <c r="E119" i="11" s="1"/>
  <c r="C18" i="11" s="1"/>
  <c r="C117" i="11"/>
  <c r="E117" i="11" s="1"/>
  <c r="E79" i="9"/>
  <c r="C79" i="9" s="1"/>
  <c r="E74" i="9"/>
  <c r="C74" i="9" s="1"/>
  <c r="C93" i="9"/>
  <c r="E93" i="9" s="1"/>
  <c r="C19" i="9" s="1"/>
  <c r="C57" i="9"/>
  <c r="C77" i="9"/>
  <c r="C72" i="9"/>
  <c r="C139" i="9" a="1"/>
  <c r="C139" i="9" s="1"/>
  <c r="C23" i="9" s="1"/>
  <c r="C97" i="10" a="1"/>
  <c r="C97" i="10" s="1"/>
  <c r="C34" i="10" s="1"/>
  <c r="C87" i="10"/>
  <c r="C86" i="10"/>
  <c r="C85" i="10"/>
  <c r="C84" i="10"/>
  <c r="C83" i="10"/>
  <c r="C82" i="10"/>
  <c r="C81" i="10"/>
  <c r="C80" i="10"/>
  <c r="C89" i="10" s="1" a="1"/>
  <c r="C89" i="10" s="1"/>
  <c r="C7" i="10" s="1"/>
  <c r="C75" i="10"/>
  <c r="C77" i="10" s="1"/>
  <c r="C10" i="10" s="1"/>
  <c r="C73" i="10"/>
  <c r="E73" i="10" s="1"/>
  <c r="C14" i="10" s="1"/>
  <c r="C71" i="10"/>
  <c r="E71" i="10" s="1"/>
  <c r="C24" i="10" s="1"/>
  <c r="C69" i="10"/>
  <c r="E69" i="10" s="1"/>
  <c r="C13" i="10" s="1"/>
  <c r="C68" i="10"/>
  <c r="E68" i="10" s="1"/>
  <c r="C12" i="10" s="1"/>
  <c r="C66" i="10"/>
  <c r="E66" i="10" s="1"/>
  <c r="C65" i="10"/>
  <c r="E65" i="10" s="1"/>
  <c r="C63" i="10"/>
  <c r="E63" i="10" s="1"/>
  <c r="C15" i="10" s="1"/>
  <c r="C61" i="10"/>
  <c r="E61" i="10" s="1"/>
  <c r="C33" i="10"/>
  <c r="C129" i="9" a="1"/>
  <c r="C129" i="9" s="1"/>
  <c r="C61" i="9" s="1"/>
  <c r="C98" i="9"/>
  <c r="E98" i="9" s="1"/>
  <c r="C16" i="9" s="1"/>
  <c r="C92" i="9"/>
  <c r="E92" i="9" s="1"/>
  <c r="C18" i="9" s="1"/>
  <c r="C60" i="9"/>
  <c r="C110" i="9"/>
  <c r="C111" i="9"/>
  <c r="C112" i="9"/>
  <c r="C113" i="9"/>
  <c r="C114" i="9"/>
  <c r="C115" i="9"/>
  <c r="C116" i="9"/>
  <c r="C117" i="9"/>
  <c r="C25" i="8"/>
  <c r="C105" i="9"/>
  <c r="C107" i="9" s="1"/>
  <c r="C14" i="9" s="1"/>
  <c r="C103" i="9"/>
  <c r="E103" i="9" s="1"/>
  <c r="C20" i="9" s="1"/>
  <c r="C101" i="9"/>
  <c r="E101" i="9" s="1"/>
  <c r="C51" i="9" s="1"/>
  <c r="C99" i="9"/>
  <c r="E99" i="9" s="1"/>
  <c r="C17" i="9" s="1"/>
  <c r="C96" i="9"/>
  <c r="E96" i="9" s="1"/>
  <c r="C95" i="9"/>
  <c r="E95" i="9" s="1"/>
  <c r="C90" i="9"/>
  <c r="E90" i="9" s="1"/>
  <c r="C68" i="8"/>
  <c r="E68" i="8" s="1"/>
  <c r="C66" i="8"/>
  <c r="E66" i="8" s="1"/>
  <c r="C15" i="8" s="1"/>
  <c r="C64" i="8"/>
  <c r="E64" i="8" s="1"/>
  <c r="C62" i="8"/>
  <c r="E62" i="8" s="1"/>
  <c r="C60" i="8"/>
  <c r="E60" i="8" s="1"/>
  <c r="C14" i="8" s="1"/>
  <c r="C59" i="8"/>
  <c r="E59" i="8" s="1"/>
  <c r="C13" i="8" s="1"/>
  <c r="C57" i="8"/>
  <c r="E57" i="8" s="1"/>
  <c r="C16" i="8" s="1"/>
  <c r="C54" i="7"/>
  <c r="E54" i="7" s="1"/>
  <c r="C21" i="7" s="1"/>
  <c r="C58" i="7"/>
  <c r="E58" i="7" s="1"/>
  <c r="C50" i="7"/>
  <c r="E50" i="7" s="1"/>
  <c r="C11" i="7" s="1"/>
  <c r="C56" i="7"/>
  <c r="E56" i="7" s="1"/>
  <c r="C12" i="7" s="1"/>
  <c r="C52" i="7"/>
  <c r="E52" i="7" s="1"/>
  <c r="C49" i="7"/>
  <c r="E49" i="7" s="1"/>
  <c r="C10" i="7" s="1"/>
  <c r="C47" i="7"/>
  <c r="F55" i="6"/>
  <c r="C57" i="6"/>
  <c r="E57" i="6" s="1"/>
  <c r="C55" i="6"/>
  <c r="E55" i="6" s="1"/>
  <c r="C52" i="6"/>
  <c r="E52" i="6" s="1"/>
  <c r="C49" i="6"/>
  <c r="E49" i="6" s="1"/>
  <c r="C46" i="6"/>
  <c r="E46" i="6" s="1"/>
  <c r="C46" i="5"/>
  <c r="E46" i="5" s="1"/>
  <c r="C49" i="5"/>
  <c r="E49" i="5" s="1"/>
  <c r="E10" i="16" a="1"/>
  <c r="G102" i="23" a="1"/>
  <c r="G99" i="12" a="1"/>
  <c r="G100" i="15" a="1"/>
  <c r="G100" i="16" a="1"/>
  <c r="G79" i="25" a="1"/>
  <c r="G99" i="13" a="1"/>
  <c r="G100" i="14" a="1"/>
  <c r="C18" i="23" l="1"/>
  <c r="E19" i="23"/>
  <c r="C19" i="23" s="1"/>
  <c r="C20" i="23"/>
  <c r="C17" i="23"/>
  <c r="C16" i="23"/>
  <c r="C39" i="23"/>
  <c r="C45" i="23"/>
  <c r="C42" i="23"/>
  <c r="C81" i="23"/>
  <c r="C14" i="25"/>
  <c r="E15" i="25"/>
  <c r="C15" i="25" s="1"/>
  <c r="C12" i="25"/>
  <c r="C16" i="25"/>
  <c r="C13" i="25"/>
  <c r="E23" i="25" a="1"/>
  <c r="E23" i="25" s="1"/>
  <c r="C23" i="25" s="1"/>
  <c r="E25" i="25" a="1"/>
  <c r="E25" i="25" s="1"/>
  <c r="C25" i="25" s="1"/>
  <c r="C78" i="25"/>
  <c r="C129" i="25" a="1"/>
  <c r="C129" i="25" s="1"/>
  <c r="C7" i="25" s="1"/>
  <c r="E114" i="25"/>
  <c r="C26" i="25"/>
  <c r="G79" i="25"/>
  <c r="E27" i="23" a="1"/>
  <c r="E27" i="23" s="1"/>
  <c r="C27" i="23" s="1"/>
  <c r="E28" i="23" a="1"/>
  <c r="E28" i="23" s="1"/>
  <c r="C28" i="23" s="1"/>
  <c r="E137" i="23"/>
  <c r="G102" i="23"/>
  <c r="C101" i="23"/>
  <c r="C6" i="23"/>
  <c r="C17" i="16"/>
  <c r="C20" i="16"/>
  <c r="C19" i="16"/>
  <c r="C16" i="16"/>
  <c r="C18" i="16"/>
  <c r="E10" i="16"/>
  <c r="E138" i="16"/>
  <c r="C99" i="16"/>
  <c r="G100" i="16"/>
  <c r="C5" i="16"/>
  <c r="C30" i="16"/>
  <c r="E16" i="15"/>
  <c r="C16" i="15" s="1"/>
  <c r="C19" i="15"/>
  <c r="C20" i="15"/>
  <c r="C17" i="15"/>
  <c r="C18" i="15"/>
  <c r="E138" i="15"/>
  <c r="C99" i="15"/>
  <c r="G100" i="15"/>
  <c r="C30" i="15"/>
  <c r="C5" i="15"/>
  <c r="E17" i="14"/>
  <c r="C17" i="14" s="1"/>
  <c r="C18" i="14"/>
  <c r="C20" i="14"/>
  <c r="C19" i="14"/>
  <c r="C16" i="14"/>
  <c r="E21" i="14"/>
  <c r="C99" i="14"/>
  <c r="E138" i="14"/>
  <c r="C30" i="14"/>
  <c r="C5" i="14"/>
  <c r="G100" i="14"/>
  <c r="E16" i="13"/>
  <c r="C16" i="13" s="1"/>
  <c r="C20" i="13"/>
  <c r="C19" i="13"/>
  <c r="C17" i="13"/>
  <c r="C18" i="13"/>
  <c r="C98" i="13"/>
  <c r="E136" i="13"/>
  <c r="G99" i="13"/>
  <c r="C5" i="13"/>
  <c r="C29" i="13"/>
  <c r="G99" i="12"/>
  <c r="C151" i="12" a="1"/>
  <c r="C151" i="12" s="1"/>
  <c r="C11" i="12" s="1"/>
  <c r="E136" i="12"/>
  <c r="C5" i="12"/>
  <c r="C29" i="12"/>
  <c r="C101" i="11"/>
  <c r="C100" i="11"/>
  <c r="C29" i="11"/>
  <c r="C151" i="11" a="1"/>
  <c r="C151" i="11" s="1"/>
  <c r="C11" i="11" s="1"/>
  <c r="E136" i="11"/>
  <c r="C5" i="9"/>
  <c r="C120" i="9" a="1"/>
  <c r="C120" i="9" s="1"/>
  <c r="C11" i="9" s="1"/>
  <c r="E75" i="10"/>
  <c r="E105" i="9"/>
  <c r="C70" i="8"/>
  <c r="C11" i="8" s="1"/>
  <c r="C60" i="7"/>
  <c r="C8" i="7" s="1"/>
  <c r="E47" i="7"/>
  <c r="C13" i="7" s="1"/>
  <c r="C14" i="6"/>
  <c r="E52" i="5" a="1"/>
  <c r="E52" i="5" s="1"/>
  <c r="E51" i="5" a="1"/>
  <c r="E51" i="5" s="1"/>
  <c r="G80" i="25" a="1"/>
  <c r="G101" i="15" a="1"/>
  <c r="G101" i="16" a="1"/>
  <c r="G100" i="12" a="1"/>
  <c r="G100" i="13" a="1"/>
  <c r="G101" i="14" a="1"/>
  <c r="G103" i="23" a="1"/>
  <c r="G80" i="25" l="1"/>
  <c r="E79" i="25"/>
  <c r="C79" i="25"/>
  <c r="F79" i="25" a="1"/>
  <c r="F79" i="25" s="1"/>
  <c r="G103" i="23"/>
  <c r="E102" i="23"/>
  <c r="C102" i="23"/>
  <c r="F102" i="23" a="1"/>
  <c r="F102" i="23" s="1"/>
  <c r="G101" i="16"/>
  <c r="F100" i="16" a="1"/>
  <c r="F100" i="16" s="1"/>
  <c r="E100" i="16"/>
  <c r="C100" i="16"/>
  <c r="G101" i="15"/>
  <c r="F100" i="15" a="1"/>
  <c r="F100" i="15" s="1"/>
  <c r="E100" i="15"/>
  <c r="C100" i="15"/>
  <c r="C21" i="14"/>
  <c r="G101" i="14"/>
  <c r="F100" i="14" a="1"/>
  <c r="F100" i="14" s="1"/>
  <c r="E100" i="14"/>
  <c r="C100" i="14"/>
  <c r="G100" i="13"/>
  <c r="F99" i="13" a="1"/>
  <c r="F99" i="13" s="1"/>
  <c r="E99" i="13"/>
  <c r="C99" i="13"/>
  <c r="G100" i="12"/>
  <c r="F100" i="12" s="1" a="1"/>
  <c r="F100" i="12" s="1"/>
  <c r="C99" i="12"/>
  <c r="E99" i="12"/>
  <c r="F99" i="12" a="1"/>
  <c r="F99" i="12" s="1"/>
  <c r="G101" i="13" a="1"/>
  <c r="G81" i="25" a="1"/>
  <c r="G104" i="23" a="1"/>
  <c r="G102" i="15" a="1"/>
  <c r="G102" i="14" a="1"/>
  <c r="G102" i="16" a="1"/>
  <c r="G101" i="12" a="1"/>
  <c r="G81" i="25" l="1"/>
  <c r="F81" i="25" s="1" a="1"/>
  <c r="F81" i="25" s="1"/>
  <c r="F80" i="25" a="1"/>
  <c r="F80" i="25" s="1"/>
  <c r="E80" i="25" s="1"/>
  <c r="C80" i="25" s="1"/>
  <c r="G104" i="23"/>
  <c r="F104" i="23" s="1" a="1"/>
  <c r="F104" i="23" s="1"/>
  <c r="F103" i="23" a="1"/>
  <c r="F103" i="23" s="1"/>
  <c r="E103" i="23" s="1"/>
  <c r="C103" i="23" s="1"/>
  <c r="G102" i="16"/>
  <c r="F102" i="16" s="1" a="1"/>
  <c r="F102" i="16" s="1"/>
  <c r="F101" i="16" a="1"/>
  <c r="F101" i="16" s="1"/>
  <c r="E101" i="16" s="1"/>
  <c r="C101" i="16" s="1"/>
  <c r="G102" i="15"/>
  <c r="F102" i="15" s="1" a="1"/>
  <c r="F102" i="15" s="1"/>
  <c r="F101" i="15" a="1"/>
  <c r="F101" i="15" s="1"/>
  <c r="E101" i="15" s="1"/>
  <c r="C101" i="15" s="1"/>
  <c r="G102" i="14"/>
  <c r="F102" i="14" s="1" a="1"/>
  <c r="F102" i="14" s="1"/>
  <c r="F101" i="14" a="1"/>
  <c r="F101" i="14" s="1"/>
  <c r="E101" i="14" s="1"/>
  <c r="C101" i="14" s="1"/>
  <c r="G101" i="13"/>
  <c r="F101" i="13" s="1" a="1"/>
  <c r="F101" i="13" s="1"/>
  <c r="F100" i="13" a="1"/>
  <c r="F100" i="13" s="1"/>
  <c r="E100" i="13" s="1"/>
  <c r="C100" i="13" s="1"/>
  <c r="G101" i="12"/>
  <c r="E100" i="12"/>
  <c r="C100" i="12" s="1"/>
  <c r="E81" i="25" l="1"/>
  <c r="C81" i="25"/>
  <c r="E104" i="23"/>
  <c r="C104" i="23"/>
  <c r="E102" i="16"/>
  <c r="C102" i="16"/>
  <c r="E102" i="15"/>
  <c r="C102" i="15"/>
  <c r="E102" i="14"/>
  <c r="C102" i="14"/>
  <c r="E101" i="13"/>
  <c r="C101" i="13"/>
  <c r="F101" i="12" a="1"/>
  <c r="F101" i="12" s="1"/>
  <c r="E101" i="12" l="1"/>
  <c r="C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<sst xmlns="http://schemas.openxmlformats.org/spreadsheetml/2006/main" count="1398" uniqueCount="315">
  <si>
    <t>MOV AX, var1</t>
  </si>
  <si>
    <t xml:space="preserve">AX = </t>
  </si>
  <si>
    <t>AL=</t>
  </si>
  <si>
    <t>AH=</t>
  </si>
  <si>
    <t>MOV BX, WORD PTR var2</t>
  </si>
  <si>
    <t>Index</t>
  </si>
  <si>
    <t>.stack 100</t>
  </si>
  <si>
    <t>Desenați zona de memorie</t>
  </si>
  <si>
    <t>AX =          AL =         AH =</t>
  </si>
  <si>
    <t xml:space="preserve">BX = </t>
  </si>
  <si>
    <t xml:space="preserve">SP = </t>
  </si>
  <si>
    <t xml:space="preserve">AX =                      BX = </t>
  </si>
  <si>
    <t>Egal / Diferit :</t>
  </si>
  <si>
    <t>salt DA/NU :</t>
  </si>
  <si>
    <t>Instrucțiune</t>
  </si>
  <si>
    <t>Răspuns</t>
  </si>
  <si>
    <t>.data</t>
  </si>
  <si>
    <t xml:space="preserve">  tabc DB '02'</t>
  </si>
  <si>
    <t xml:space="preserve">  var2 DB 55h</t>
  </si>
  <si>
    <t xml:space="preserve">  var1 DW 75h</t>
  </si>
  <si>
    <t>.model small</t>
  </si>
  <si>
    <t>.code</t>
  </si>
  <si>
    <t>program:</t>
  </si>
  <si>
    <t>End program</t>
  </si>
  <si>
    <t xml:space="preserve">  MOV AX, var1</t>
  </si>
  <si>
    <t xml:space="preserve">  MOV BX, WORD PTR var2</t>
  </si>
  <si>
    <t xml:space="preserve">  SUB AX, BX</t>
  </si>
  <si>
    <t xml:space="preserve">  push AX</t>
  </si>
  <si>
    <t xml:space="preserve">  push BX</t>
  </si>
  <si>
    <t xml:space="preserve">  XCHG AX, BX</t>
  </si>
  <si>
    <t xml:space="preserve">  SHR BX, 2</t>
  </si>
  <si>
    <t xml:space="preserve">  OR BX, 3h </t>
  </si>
  <si>
    <t xml:space="preserve">  CMP BX, 0Bh</t>
  </si>
  <si>
    <t xml:space="preserve">  JNE salt</t>
  </si>
  <si>
    <t xml:space="preserve">  INC BX</t>
  </si>
  <si>
    <t xml:space="preserve">  POP AX</t>
  </si>
  <si>
    <t xml:space="preserve">  POP BX</t>
  </si>
  <si>
    <t xml:space="preserve"> salt: </t>
  </si>
  <si>
    <t>sablon struc</t>
  </si>
  <si>
    <t>sablon ends</t>
  </si>
  <si>
    <t xml:space="preserve">  _bp dw ?</t>
  </si>
  <si>
    <t xml:space="preserve">  _ip dw ?</t>
  </si>
  <si>
    <t xml:space="preserve">  _nrEl dw ?</t>
  </si>
  <si>
    <t xml:space="preserve">  _adr3 dw ?</t>
  </si>
  <si>
    <t xml:space="preserve">  _adr2 dw ?</t>
  </si>
  <si>
    <t xml:space="preserve">  _adr1 dw ?</t>
  </si>
  <si>
    <t xml:space="preserve"> sfarsit:</t>
  </si>
  <si>
    <t xml:space="preserve">  mov AH, 4Ch</t>
  </si>
  <si>
    <t xml:space="preserve">  int 21h</t>
  </si>
  <si>
    <t xml:space="preserve">  MOV AX, @data</t>
  </si>
  <si>
    <t xml:space="preserve">  MOV DS, AX</t>
  </si>
  <si>
    <t xml:space="preserve"> initializare:</t>
  </si>
  <si>
    <t xml:space="preserve"> start:</t>
  </si>
  <si>
    <t>Nr rand (0 - 255)</t>
  </si>
  <si>
    <t>hex</t>
  </si>
  <si>
    <t>Nr rand (0 - 65535)</t>
  </si>
  <si>
    <t>Nr rand (256 - 65535)</t>
  </si>
  <si>
    <t>Nr rand (65536 - 4294967295)</t>
  </si>
  <si>
    <t>DB (0 - 255)</t>
  </si>
  <si>
    <t>DW (0 - 65535)</t>
  </si>
  <si>
    <t>DW (256 - 65535)</t>
  </si>
  <si>
    <t>DD (65536 - 4294967295)</t>
  </si>
  <si>
    <t>Numere random (dec)</t>
  </si>
  <si>
    <t>(hex)</t>
  </si>
  <si>
    <t>Stack (100 - 2048) even, rounded up</t>
  </si>
  <si>
    <t>Stack rounded down to tens value</t>
  </si>
  <si>
    <t xml:space="preserve">; . . . </t>
  </si>
  <si>
    <t xml:space="preserve">  tab DD var1, var2, var3, var4</t>
  </si>
  <si>
    <t>DW (4096 - 65535) - 4 hex word</t>
  </si>
  <si>
    <t xml:space="preserve">  SHR AX, 4</t>
  </si>
  <si>
    <t xml:space="preserve">  SHL AX, 8</t>
  </si>
  <si>
    <t xml:space="preserve">  SHR AX, CL</t>
  </si>
  <si>
    <t xml:space="preserve">  SHL AX, CL</t>
  </si>
  <si>
    <t xml:space="preserve">  ROL AX, CL</t>
  </si>
  <si>
    <t xml:space="preserve">  MOV BL, BYTE PTR var2</t>
  </si>
  <si>
    <r>
      <t> </t>
    </r>
    <r>
      <rPr>
        <sz val="12"/>
        <color rgb="FFBBCBCB"/>
        <rFont val="Consolas"/>
        <family val="3"/>
      </rPr>
      <t>initializare: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</si>
  <si>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</si>
  <si>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</si>
  <si>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start: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</si>
  <si>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</si>
  <si>
    <r>
      <t>  </t>
    </r>
    <r>
      <rPr>
        <sz val="12"/>
        <color rgb="FF3794CD"/>
        <rFont val="Consolas"/>
        <family val="3"/>
      </rPr>
      <t>SHR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</si>
  <si>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SHL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</si>
  <si>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</si>
  <si>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</si>
  <si>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var3 + </t>
    </r>
    <r>
      <rPr>
        <sz val="12"/>
        <color rgb="FFA3D98C"/>
        <rFont val="Consolas"/>
        <family val="3"/>
      </rPr>
      <t>2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</si>
  <si>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</si>
  <si>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masca</t>
    </r>
  </si>
  <si>
    <r>
      <t>masca</t>
    </r>
    <r>
      <rPr>
        <b/>
        <sz val="12"/>
        <color rgb="FFD4D4D4"/>
        <rFont val="Consolas"/>
        <family val="3"/>
      </rPr>
      <t> </t>
    </r>
    <r>
      <rPr>
        <b/>
        <sz val="12"/>
        <color rgb="FF9EC8E5"/>
        <rFont val="Consolas"/>
        <family val="3"/>
      </rPr>
      <t>equ</t>
    </r>
    <r>
      <rPr>
        <b/>
        <sz val="12"/>
        <color rgb="FFD4D4D4"/>
        <rFont val="Consolas"/>
        <family val="3"/>
      </rPr>
      <t> </t>
    </r>
    <r>
      <rPr>
        <b/>
        <sz val="12"/>
        <color rgb="FFA3D98C"/>
        <rFont val="Consolas"/>
        <family val="3"/>
      </rPr>
      <t>1010101010101010b</t>
    </r>
  </si>
  <si>
    <t>Măști</t>
  </si>
  <si>
    <r>
      <t>.</t>
    </r>
    <r>
      <rPr>
        <sz val="12"/>
        <color rgb="FFB2B1B4"/>
        <rFont val="Consolas"/>
        <family val="3"/>
      </rPr>
      <t xml:space="preserve">model </t>
    </r>
    <r>
      <rPr>
        <sz val="12"/>
        <color rgb="FFB351EC"/>
        <rFont val="Consolas"/>
        <family val="3"/>
      </rPr>
      <t>small</t>
    </r>
  </si>
  <si>
    <r>
      <t xml:space="preserve">  tab </t>
    </r>
    <r>
      <rPr>
        <sz val="12"/>
        <color rgb="FF3794CD"/>
        <rFont val="Consolas"/>
        <family val="3"/>
      </rPr>
      <t xml:space="preserve">DD </t>
    </r>
    <r>
      <rPr>
        <sz val="12"/>
        <color rgb="FFD4D4D4"/>
        <rFont val="Consolas"/>
        <family val="3"/>
      </rPr>
      <t>var1, var2, var3, var4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</si>
  <si>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 xml:space="preserve">, </t>
    </r>
    <r>
      <rPr>
        <sz val="12"/>
        <color rgb="FFA3D98C"/>
        <rFont val="Consolas"/>
        <family val="3"/>
      </rPr>
      <t>4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</si>
  <si>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 xml:space="preserve">, </t>
    </r>
    <r>
      <rPr>
        <sz val="12"/>
        <color rgb="FFB2B1B4"/>
        <rFont val="Consolas"/>
        <family val="3"/>
      </rPr>
      <t>@data</t>
    </r>
  </si>
  <si>
    <r>
      <rPr>
        <sz val="12"/>
        <color rgb="FF3794CD"/>
        <rFont val="Consolas"/>
        <family val="3"/>
      </rPr>
      <t xml:space="preserve">  MOV </t>
    </r>
    <r>
      <rPr>
        <sz val="12"/>
        <color rgb="FFA2C3BB"/>
        <rFont val="Consolas"/>
        <family val="3"/>
      </rPr>
      <t>DS</t>
    </r>
    <r>
      <rPr>
        <sz val="12"/>
        <color rgb="FFD4D4D4"/>
        <rFont val="Consolas"/>
        <family val="3"/>
      </rPr>
      <t xml:space="preserve">, </t>
    </r>
    <r>
      <rPr>
        <sz val="12"/>
        <color rgb="FFA2C3BB"/>
        <rFont val="Consolas"/>
        <family val="3"/>
      </rPr>
      <t>AX</t>
    </r>
  </si>
  <si>
    <t xml:space="preserve">  MOV BH, BYTE PTR var3 + 2</t>
  </si>
  <si>
    <t xml:space="preserve">  OR AX, BX</t>
  </si>
  <si>
    <t xml:space="preserve">  AND BX, masca</t>
  </si>
  <si>
    <r>
      <t xml:space="preserve">End </t>
    </r>
    <r>
      <rPr>
        <sz val="12"/>
        <color rgb="FFD4D4D4"/>
        <rFont val="Consolas"/>
        <family val="3"/>
      </rPr>
      <t>program</t>
    </r>
  </si>
  <si>
    <r>
      <t xml:space="preserve">sablon </t>
    </r>
    <r>
      <rPr>
        <sz val="12"/>
        <color rgb="FF3794CD"/>
        <rFont val="Consolas"/>
        <family val="3"/>
      </rPr>
      <t>ends</t>
    </r>
  </si>
  <si>
    <r>
      <t xml:space="preserve">sablon </t>
    </r>
    <r>
      <rPr>
        <sz val="12"/>
        <color rgb="FF3794CD"/>
        <rFont val="Consolas"/>
        <family val="3"/>
      </rPr>
      <t>struc</t>
    </r>
  </si>
  <si>
    <t>; . . .</t>
  </si>
  <si>
    <t xml:space="preserve">  OR BX, 3h</t>
  </si>
  <si>
    <t xml:space="preserve"> salt:</t>
  </si>
  <si>
    <t>DB (1 - 255)</t>
  </si>
  <si>
    <t>Instr rot/shiftare</t>
  </si>
  <si>
    <t>SHL</t>
  </si>
  <si>
    <t>SHR</t>
  </si>
  <si>
    <t>ROR</t>
  </si>
  <si>
    <t>ROL</t>
  </si>
  <si>
    <t xml:space="preserve">  NOT BX</t>
  </si>
  <si>
    <t>Proceduri</t>
  </si>
  <si>
    <t>comp_nr (dw nr1, dw nr2) -&gt; rez AL</t>
  </si>
  <si>
    <t xml:space="preserve">  call comp_nr</t>
  </si>
  <si>
    <t xml:space="preserve">  call compNr</t>
  </si>
  <si>
    <t xml:space="preserve">  _bx dw ?</t>
  </si>
  <si>
    <t xml:space="preserve">  _ax dw ?</t>
  </si>
  <si>
    <t xml:space="preserve">  push bp</t>
  </si>
  <si>
    <t xml:space="preserve">  mov bp, sp</t>
  </si>
  <si>
    <t xml:space="preserve">  mov dx, [bp]._bx</t>
  </si>
  <si>
    <t xml:space="preserve">  cmp [bp]._ax, dx</t>
  </si>
  <si>
    <t xml:space="preserve">  ja grt</t>
  </si>
  <si>
    <t xml:space="preserve">  jb lsr</t>
  </si>
  <si>
    <t xml:space="preserve">  mov al, 0</t>
  </si>
  <si>
    <t xml:space="preserve">  jmp sfr</t>
  </si>
  <si>
    <t xml:space="preserve"> grt:</t>
  </si>
  <si>
    <t xml:space="preserve">  mov al, 1</t>
  </si>
  <si>
    <t xml:space="preserve"> lsr:</t>
  </si>
  <si>
    <t xml:space="preserve">  mov al, -1</t>
  </si>
  <si>
    <t xml:space="preserve"> sfr:</t>
  </si>
  <si>
    <t xml:space="preserve">  ret</t>
  </si>
  <si>
    <t>endp compNr</t>
  </si>
  <si>
    <t xml:space="preserve">  pop bp</t>
  </si>
  <si>
    <t xml:space="preserve">  MOV CL, 4</t>
  </si>
  <si>
    <t>Măști random</t>
  </si>
  <si>
    <t>Instrucțiuni rot/sh random</t>
  </si>
  <si>
    <t>Instrucțiuni rot/sh</t>
  </si>
  <si>
    <t>Tip procedura</t>
  </si>
  <si>
    <t>near</t>
  </si>
  <si>
    <t>far</t>
  </si>
  <si>
    <t>Tip procedura random</t>
  </si>
  <si>
    <t xml:space="preserve">  CMP AL, 0h</t>
  </si>
  <si>
    <t xml:space="preserve">  ADD SP, 4</t>
  </si>
  <si>
    <t xml:space="preserve">  LES DI, TAB[BX]</t>
  </si>
  <si>
    <t xml:space="preserve"> maiMare:</t>
  </si>
  <si>
    <t xml:space="preserve"> maiMic:</t>
  </si>
  <si>
    <t xml:space="preserve">  jg maiMare</t>
  </si>
  <si>
    <t xml:space="preserve">  jl maiMic</t>
  </si>
  <si>
    <t xml:space="preserve">  je sfarsit</t>
  </si>
  <si>
    <t xml:space="preserve">  jmp SHORT sfarsit</t>
  </si>
  <si>
    <t xml:space="preserve">  push dx</t>
  </si>
  <si>
    <t xml:space="preserve">  pop dx</t>
  </si>
  <si>
    <t xml:space="preserve">  MOV DL, BYTE PTR var2</t>
  </si>
  <si>
    <t xml:space="preserve">  AND DX, masca</t>
  </si>
  <si>
    <t xml:space="preserve">  NOT DX</t>
  </si>
  <si>
    <t xml:space="preserve">  push DX</t>
  </si>
  <si>
    <t xml:space="preserve">  OR AX, DX</t>
  </si>
  <si>
    <t xml:space="preserve">  PUSH AX</t>
  </si>
  <si>
    <t xml:space="preserve">  PUSH BX</t>
  </si>
  <si>
    <t xml:space="preserve">  PUSH CX</t>
  </si>
  <si>
    <t xml:space="preserve">  PUSH DX</t>
  </si>
  <si>
    <t xml:space="preserve">  call nuFaceNimic</t>
  </si>
  <si>
    <t xml:space="preserve">  NOP</t>
  </si>
  <si>
    <t>endp nuFaceNimic</t>
  </si>
  <si>
    <t xml:space="preserve">  RET</t>
  </si>
  <si>
    <t xml:space="preserve">  jmp SHORT continua</t>
  </si>
  <si>
    <t xml:space="preserve">  je continua</t>
  </si>
  <si>
    <t xml:space="preserve">  tab DD var1, var2, var3, var4, var5</t>
  </si>
  <si>
    <t xml:space="preserve"> continua:</t>
  </si>
  <si>
    <t xml:space="preserve">  MOV BP, SP</t>
  </si>
  <si>
    <t xml:space="preserve">  POP DX</t>
  </si>
  <si>
    <t xml:space="preserve">  POP CX</t>
  </si>
  <si>
    <t>; procedura primeste ca parametrii prin stiva 2 numere:</t>
  </si>
  <si>
    <t xml:space="preserve">  _nr1 dw ?</t>
  </si>
  <si>
    <t xml:space="preserve">  _nr2 dw ?</t>
  </si>
  <si>
    <t xml:space="preserve">  cmp [bp]._nr1, dx</t>
  </si>
  <si>
    <t xml:space="preserve">  mov dx, [bp]._nr2</t>
  </si>
  <si>
    <t>; daca nr1 &lt; nr2 =&gt; AL = -1 (FFh)</t>
  </si>
  <si>
    <t>; daca nr1 &gt; nr2 =&gt; AL =  1 (01h)</t>
  </si>
  <si>
    <t>; daca nr1 = nr2 =&gt; AL =  0 (00h)</t>
  </si>
  <si>
    <t>; se compara primul numar cu al doilea:</t>
  </si>
  <si>
    <t xml:space="preserve">  PUSH SI</t>
  </si>
  <si>
    <t xml:space="preserve">  POP SI</t>
  </si>
  <si>
    <t>Idk if these 2 rows</t>
  </si>
  <si>
    <t>are still usefull</t>
  </si>
  <si>
    <t>ToDo - Randomize variable order</t>
  </si>
  <si>
    <t>with a DD always at the bottom</t>
  </si>
  <si>
    <t xml:space="preserve">  tab DD var1, var2, var3, var4, var5, var6</t>
  </si>
  <si>
    <t>Simboluri mai mare</t>
  </si>
  <si>
    <t>'&gt;' (3Eh)</t>
  </si>
  <si>
    <t>Simboluri egal</t>
  </si>
  <si>
    <t>'=' (3Dh)</t>
  </si>
  <si>
    <t>Set simboluri folosit:</t>
  </si>
  <si>
    <t>Simboluri mai mic</t>
  </si>
  <si>
    <t>-1 (FFh)</t>
  </si>
  <si>
    <t>'&lt;' (3Ch)</t>
  </si>
  <si>
    <t xml:space="preserve"> 1 (01h)</t>
  </si>
  <si>
    <t xml:space="preserve"> 0 (00h)</t>
  </si>
  <si>
    <t>'-' (2Dh)</t>
  </si>
  <si>
    <t>'+' (2Bh)</t>
  </si>
  <si>
    <t>ToDoIdea - Add a string variable</t>
  </si>
  <si>
    <t>ToDoIdea - Add more variables</t>
  </si>
  <si>
    <t>(ex: 3 of each)</t>
  </si>
  <si>
    <t>; procedura primeste ca parametrii prin stiva 2 numere:</t>
  </si>
  <si>
    <t>; se compara primul numar cu al doilea:</t>
  </si>
  <si>
    <r>
      <t>  </t>
    </r>
    <r>
      <rPr>
        <sz val="12"/>
        <color rgb="FF3794CD"/>
        <rFont val="Consolas"/>
        <family val="3"/>
      </rPr>
      <t>NOP</t>
    </r>
  </si>
  <si>
    <r>
      <t>  </t>
    </r>
    <r>
      <rPr>
        <sz val="12"/>
        <color rgb="FF3794CD"/>
        <rFont val="Consolas"/>
        <family val="3"/>
      </rPr>
      <t>RET</t>
    </r>
  </si>
  <si>
    <r>
      <t>  </t>
    </r>
    <r>
      <rPr>
        <sz val="12"/>
        <color rgb="FF3794CD"/>
        <rFont val="Consolas"/>
        <family val="3"/>
      </rPr>
      <t>OR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</si>
  <si>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AND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masca</t>
    </r>
  </si>
  <si>
    <r>
      <t>  </t>
    </r>
    <r>
      <rPr>
        <sz val="12"/>
        <color rgb="FF3794CD"/>
        <rFont val="Consolas"/>
        <family val="3"/>
      </rPr>
      <t>NOT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</si>
  <si>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CMP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0h</t>
    </r>
  </si>
  <si>
    <r>
      <t> </t>
    </r>
    <r>
      <rPr>
        <sz val="12"/>
        <color rgb="FFBBCBCB"/>
        <rFont val="Consolas"/>
        <family val="3"/>
      </rPr>
      <t>maiMare:</t>
    </r>
  </si>
  <si>
    <r>
      <t>  </t>
    </r>
    <r>
      <rPr>
        <sz val="12"/>
        <color rgb="FF3794CD"/>
        <rFont val="Consolas"/>
        <family val="3"/>
      </rPr>
      <t>LES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, TAB[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]</t>
    </r>
  </si>
  <si>
    <r>
      <t> </t>
    </r>
    <r>
      <rPr>
        <sz val="12"/>
        <color rgb="FFBBCBCB"/>
        <rFont val="Consolas"/>
        <family val="3"/>
      </rPr>
      <t>maiMic:</t>
    </r>
  </si>
  <si>
    <r>
      <t> </t>
    </r>
    <r>
      <rPr>
        <sz val="12"/>
        <color rgb="FFBBCBCB"/>
        <rFont val="Consolas"/>
        <family val="3"/>
      </rPr>
      <t>continua: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</si>
  <si>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</si>
  <si>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</si>
  <si>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SP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</si>
  <si>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</si>
  <si>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</si>
  <si>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PUSH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</si>
  <si>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SI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</si>
  <si>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</si>
  <si>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</si>
  <si>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</si>
  <si>
    <r>
      <t>  </t>
    </r>
    <r>
      <rPr>
        <sz val="12"/>
        <color rgb="FF3794CD"/>
        <rFont val="Consolas"/>
        <family val="3"/>
      </rPr>
      <t>POP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</si>
  <si>
    <r>
      <t> </t>
    </r>
    <r>
      <rPr>
        <sz val="12"/>
        <color rgb="FFBBCBCB"/>
        <rFont val="Consolas"/>
        <family val="3"/>
      </rPr>
      <t>sfarsit:</t>
    </r>
  </si>
  <si>
    <t>; daca nr1 &gt; nr2 =&gt; AL =  '&gt;' (3Eh)</t>
  </si>
  <si>
    <t>; daca nr1 = nr2 =&gt; AL =  '=' (3Dh)</t>
  </si>
  <si>
    <t>; daca nr1 &lt; nr2 =&gt; AL =  '&lt;' (3Ch)</t>
  </si>
  <si>
    <t xml:space="preserve">ToDo </t>
  </si>
  <si>
    <t xml:space="preserve">  - Add used variables to this Sheet Ex: Masks, random Nrs, etc.</t>
  </si>
  <si>
    <t xml:space="preserve">  - Hide this WorkSheet after</t>
  </si>
  <si>
    <t>DW (4096 - 65535) - 4 hex letter word (4096 = 1000h)</t>
  </si>
  <si>
    <t>Idea: Add a random case for MOVing a variable instead of immediate value</t>
  </si>
  <si>
    <t>Mască random</t>
  </si>
  <si>
    <t>Idea: Randomise BP position relative to Pushes (Possible Side effect: The random number used below for the ptrs will not be accurate anymore)</t>
  </si>
  <si>
    <t xml:space="preserve">  ; datele sablonului</t>
  </si>
  <si>
    <t xml:space="preserve">  ; codul procedurii</t>
  </si>
  <si>
    <r>
      <t>  </t>
    </r>
    <r>
      <rPr>
        <sz val="12"/>
        <color rgb="FF7AA04B"/>
        <rFont val="Consolas"/>
        <family val="3"/>
      </rPr>
      <t>; datele sablonului</t>
    </r>
  </si>
  <si>
    <r>
      <t>  </t>
    </r>
    <r>
      <rPr>
        <sz val="12"/>
        <color rgb="FF7AA04B"/>
        <rFont val="Consolas"/>
        <family val="3"/>
      </rPr>
      <t>; codul procedurii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</si>
  <si>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</si>
  <si>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2</t>
    </r>
    <r>
      <rPr>
        <sz val="12"/>
        <color rgb="FFD4D4D4"/>
        <rFont val="Consolas"/>
        <family val="3"/>
      </rPr>
      <t>]</t>
    </r>
  </si>
  <si>
    <t xml:space="preserve">  _BP DW ?</t>
  </si>
  <si>
    <t xml:space="preserve">  _nr2 DW ?</t>
  </si>
  <si>
    <t xml:space="preserve">  _nr1 DW ?</t>
  </si>
  <si>
    <t xml:space="preserve">  PUSH BP</t>
  </si>
  <si>
    <t xml:space="preserve">  MOV DX, [BP]._nr2</t>
  </si>
  <si>
    <t xml:space="preserve">  CMP [BP]._nr1, DX</t>
  </si>
  <si>
    <t xml:space="preserve">  JA grt</t>
  </si>
  <si>
    <t xml:space="preserve">  JB lsr</t>
  </si>
  <si>
    <t xml:space="preserve">  JMP sfr</t>
  </si>
  <si>
    <t xml:space="preserve">  POP BP</t>
  </si>
  <si>
    <t>sablon STRUC</t>
  </si>
  <si>
    <t>sablon ENDS</t>
  </si>
  <si>
    <t xml:space="preserve">  JG maiMare</t>
  </si>
  <si>
    <t xml:space="preserve">  JL maiMic</t>
  </si>
  <si>
    <t xml:space="preserve">  JMP SHORT continua</t>
  </si>
  <si>
    <t xml:space="preserve">  JE continua ; se putea folosi si 'JMP SHORT continua'</t>
  </si>
  <si>
    <t xml:space="preserve">  CALL nuFaceNimic</t>
  </si>
  <si>
    <t xml:space="preserve">  MOV AH, 4Ch</t>
  </si>
  <si>
    <t xml:space="preserve">  INT 21h</t>
  </si>
  <si>
    <t>.MODEL SMALL</t>
  </si>
  <si>
    <t>.DATA</t>
  </si>
  <si>
    <t>.CODE</t>
  </si>
  <si>
    <t>END program</t>
  </si>
  <si>
    <t xml:space="preserve">  MOV AX, @DATA</t>
  </si>
  <si>
    <t>NEAR</t>
  </si>
  <si>
    <t>FAR</t>
  </si>
  <si>
    <t xml:space="preserve">  tab  DD var1, var2, var3, var4, var5, var6</t>
  </si>
  <si>
    <t>nuFaceNimic ENDP</t>
  </si>
  <si>
    <r>
      <t>sablon </t>
    </r>
    <r>
      <rPr>
        <sz val="12"/>
        <color rgb="FF3794CD"/>
        <rFont val="Consolas"/>
        <family val="3"/>
      </rPr>
      <t>STRUC</t>
    </r>
  </si>
  <si>
    <r>
      <t>sablon </t>
    </r>
    <r>
      <rPr>
        <sz val="12"/>
        <color rgb="FF3794CD"/>
        <rFont val="Consolas"/>
        <family val="3"/>
      </rPr>
      <t>ENDS</t>
    </r>
  </si>
  <si>
    <r>
      <t>.</t>
    </r>
    <r>
      <rPr>
        <sz val="12"/>
        <color rgb="FFB2B1B4"/>
        <rFont val="Consolas"/>
        <family val="3"/>
      </rPr>
      <t>MODEL</t>
    </r>
    <r>
      <rPr>
        <sz val="12"/>
        <color rgb="FFD4D4D4"/>
        <rFont val="Consolas"/>
        <family val="3"/>
      </rPr>
      <t> </t>
    </r>
    <r>
      <rPr>
        <sz val="12"/>
        <color rgb="FFB351EC"/>
        <rFont val="Consolas"/>
        <family val="3"/>
      </rPr>
      <t>SMALL</t>
    </r>
  </si>
  <si>
    <r>
      <t>  tab 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var1, var2, var3, var4, var5, var6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</si>
  <si>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</si>
  <si>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B2B1B4"/>
        <rFont val="Consolas"/>
        <family val="3"/>
      </rPr>
      <t>@DATA</t>
    </r>
  </si>
  <si>
    <t>  JG maiMare</t>
  </si>
  <si>
    <r>
      <t>  </t>
    </r>
    <r>
      <rPr>
        <sz val="12"/>
        <color rgb="FF3794CD"/>
        <rFont val="Consolas"/>
        <family val="3"/>
      </rPr>
      <t>JL</t>
    </r>
    <r>
      <rPr>
        <sz val="12"/>
        <color rgb="FFD4D4D4"/>
        <rFont val="Consolas"/>
        <family val="3"/>
      </rPr>
      <t> maiMic</t>
    </r>
  </si>
  <si>
    <r>
      <t>  </t>
    </r>
    <r>
      <rPr>
        <sz val="12"/>
        <color rgb="FF3794CD"/>
        <rFont val="Consolas"/>
        <family val="3"/>
      </rPr>
      <t>JE</t>
    </r>
    <r>
      <rPr>
        <sz val="12"/>
        <color rgb="FFD4D4D4"/>
        <rFont val="Consolas"/>
        <family val="3"/>
      </rPr>
      <t> continua </t>
    </r>
    <r>
      <rPr>
        <sz val="12"/>
        <color rgb="FF7AA04B"/>
        <rFont val="Consolas"/>
        <family val="3"/>
      </rPr>
      <t>; se putea folosi si 'JMP SHORT continua'</t>
    </r>
  </si>
  <si>
    <r>
      <t>  </t>
    </r>
    <r>
      <rPr>
        <sz val="12"/>
        <color rgb="FF3794CD"/>
        <rFont val="Consolas"/>
        <family val="3"/>
      </rPr>
      <t>JMP</t>
    </r>
    <r>
      <rPr>
        <sz val="12"/>
        <color rgb="FFD4D4D4"/>
        <rFont val="Consolas"/>
        <family val="3"/>
      </rPr>
      <t> SHORT continua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</si>
  <si>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nuFaceNimic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</si>
  <si>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AH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4Ch</t>
    </r>
  </si>
  <si>
    <r>
      <t>  </t>
    </r>
    <r>
      <rPr>
        <sz val="12"/>
        <color rgb="FF3794CD"/>
        <rFont val="Consolas"/>
        <family val="3"/>
      </rPr>
      <t>INT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21h</t>
    </r>
  </si>
  <si>
    <r>
      <t>END</t>
    </r>
    <r>
      <rPr>
        <sz val="12"/>
        <color rgb="FFD4D4D4"/>
        <rFont val="Consolas"/>
        <family val="3"/>
      </rPr>
      <t> program</t>
    </r>
  </si>
  <si>
    <t xml:space="preserve">  MOV AX, 0</t>
  </si>
  <si>
    <t>comparaNumere ENDP</t>
  </si>
  <si>
    <t xml:space="preserve">  CALL comparaNumere</t>
  </si>
  <si>
    <t xml:space="preserve">  ADD SP, 4 ; se restaureaza stiva</t>
  </si>
  <si>
    <t>Indice</t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</si>
  <si>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ENDP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</si>
  <si>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0</t>
    </r>
  </si>
  <si>
    <r>
      <t>  </t>
    </r>
    <r>
      <rPr>
        <sz val="12"/>
        <color rgb="FF3794CD"/>
        <rFont val="Consolas"/>
        <family val="3"/>
      </rPr>
      <t>CALL</t>
    </r>
    <r>
      <rPr>
        <sz val="12"/>
        <color rgb="FFD4D4D4"/>
        <rFont val="Consolas"/>
        <family val="3"/>
      </rPr>
      <t> </t>
    </r>
    <r>
      <rPr>
        <sz val="12"/>
        <color rgb="FFFFE291"/>
        <rFont val="Consolas"/>
        <family val="3"/>
      </rPr>
      <t>comparaNumere</t>
    </r>
  </si>
  <si>
    <r>
      <t>  </t>
    </r>
    <r>
      <rPr>
        <sz val="12"/>
        <color rgb="FF3794CD"/>
        <rFont val="Consolas"/>
        <family val="3"/>
      </rPr>
      <t>ADD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SP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 </t>
    </r>
    <r>
      <rPr>
        <sz val="12"/>
        <color rgb="FF7AA04B"/>
        <rFont val="Consolas"/>
        <family val="3"/>
      </rPr>
      <t>; se restaureaza stiva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</si>
  <si>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DH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var6 +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</si>
  <si>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ROL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DX</t>
    </r>
    <r>
      <rPr>
        <sz val="12"/>
        <color rgb="FFD4D4D4"/>
        <rFont val="Consolas"/>
        <family val="3"/>
      </rPr>
      <t>, </t>
    </r>
    <r>
      <rPr>
        <sz val="12"/>
        <color rgb="FFA2C3BB"/>
        <rFont val="Consolas"/>
        <family val="3"/>
      </rPr>
      <t>CL</t>
    </r>
  </si>
  <si>
    <r>
      <t>masca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equ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1001100110011001b</t>
    </r>
  </si>
  <si>
    <r>
      <t>.</t>
    </r>
    <r>
      <rPr>
        <sz val="12"/>
        <color rgb="FFB2B1B4"/>
        <rFont val="Consolas"/>
        <family val="3"/>
      </rPr>
      <t>STACK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1890</t>
    </r>
  </si>
  <si>
    <r>
      <t>  var1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69h</t>
    </r>
  </si>
  <si>
    <r>
      <t>  var2 </t>
    </r>
    <r>
      <rPr>
        <sz val="12"/>
        <color rgb="FF3794CD"/>
        <rFont val="Consolas"/>
        <family val="3"/>
      </rPr>
      <t>DB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8Ah</t>
    </r>
  </si>
  <si>
    <r>
      <t>  var3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0BC9EDB42h</t>
    </r>
  </si>
  <si>
    <r>
      <t>  var4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0F95Dh</t>
    </r>
  </si>
  <si>
    <r>
      <t>  var5 </t>
    </r>
    <r>
      <rPr>
        <sz val="12"/>
        <color rgb="FF3794CD"/>
        <rFont val="Consolas"/>
        <family val="3"/>
      </rPr>
      <t>DW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5FB7h</t>
    </r>
  </si>
  <si>
    <r>
      <t>  var6 </t>
    </r>
    <r>
      <rPr>
        <sz val="12"/>
        <color rgb="FF3794CD"/>
        <rFont val="Consolas"/>
        <family val="3"/>
      </rPr>
      <t>DD</t>
    </r>
    <r>
      <rPr>
        <sz val="12"/>
        <color rgb="FFD4D4D4"/>
        <rFont val="Consolas"/>
        <family val="3"/>
      </rPr>
      <t> </t>
    </r>
    <r>
      <rPr>
        <sz val="12"/>
        <color rgb="FFA3D98C"/>
        <rFont val="Consolas"/>
        <family val="3"/>
      </rPr>
      <t>8F161A4Bh</t>
    </r>
  </si>
  <si>
    <r>
      <t>comparaNumere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FAR</t>
    </r>
  </si>
  <si>
    <r>
      <t>nuFaceNimic</t>
    </r>
    <r>
      <rPr>
        <sz val="12"/>
        <color rgb="FFD4D4D4"/>
        <rFont val="Consolas"/>
        <family val="3"/>
      </rPr>
      <t> </t>
    </r>
    <r>
      <rPr>
        <sz val="12"/>
        <color rgb="FF3794CD"/>
        <rFont val="Consolas"/>
        <family val="3"/>
      </rPr>
      <t>PROC NEAR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</si>
  <si>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AX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5653h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</si>
  <si>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DL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var2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</si>
  <si>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CL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3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</si>
  <si>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BX</t>
    </r>
    <r>
      <rPr>
        <sz val="12"/>
        <color rgb="FFD4D4D4"/>
        <rFont val="Consolas"/>
        <family val="3"/>
      </rPr>
      <t>, </t>
    </r>
    <r>
      <rPr>
        <sz val="12"/>
        <color rgb="FFA3D98C"/>
        <rFont val="Consolas"/>
        <family val="3"/>
      </rPr>
      <t>16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</si>
  <si>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CX</t>
    </r>
    <r>
      <rPr>
        <sz val="12"/>
        <color rgb="FFD4D4D4"/>
        <rFont val="Consolas"/>
        <family val="3"/>
      </rPr>
      <t>,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</t>
    </r>
    <r>
      <rPr>
        <sz val="12"/>
        <color rgb="FFA2C3BB"/>
        <rFont val="Consolas"/>
        <family val="3"/>
      </rPr>
      <t>ES</t>
    </r>
    <r>
      <rPr>
        <sz val="12"/>
        <color rgb="FFBBCBCB"/>
        <rFont val="Consolas"/>
        <family val="3"/>
      </rPr>
      <t>:</t>
    </r>
    <r>
      <rPr>
        <sz val="12"/>
        <color rgb="FFD4D4D4"/>
        <rFont val="Consolas"/>
        <family val="3"/>
      </rPr>
      <t>[</t>
    </r>
    <r>
      <rPr>
        <sz val="12"/>
        <color rgb="FFA2C3BB"/>
        <rFont val="Consolas"/>
        <family val="3"/>
      </rPr>
      <t>DI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</si>
  <si>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+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0C5h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</si>
  <si>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1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6C73h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</si>
  <si>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WORD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3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23E3h</t>
    </r>
  </si>
  <si>
    <r>
      <t>  </t>
    </r>
    <r>
      <rPr>
        <sz val="12"/>
        <color rgb="FF3794CD"/>
        <rFont val="Consolas"/>
        <family val="3"/>
      </rPr>
      <t>MOV</t>
    </r>
    <r>
      <rPr>
        <sz val="12"/>
        <color rgb="FFD4D4D4"/>
        <rFont val="Consolas"/>
        <family val="3"/>
      </rPr>
      <t> </t>
    </r>
    <r>
      <rPr>
        <b/>
        <sz val="12"/>
        <color rgb="FF4275B3"/>
        <rFont val="Consolas"/>
        <family val="3"/>
      </rPr>
      <t>BYTE</t>
    </r>
    <r>
      <rPr>
        <sz val="12"/>
        <color rgb="FFD4D4D4"/>
        <rFont val="Consolas"/>
        <family val="3"/>
      </rPr>
      <t> </t>
    </r>
    <r>
      <rPr>
        <sz val="12"/>
        <color rgb="FF9EC8E5"/>
        <rFont val="Consolas"/>
        <family val="3"/>
      </rPr>
      <t>PTR</t>
    </r>
    <r>
      <rPr>
        <sz val="12"/>
        <color rgb="FFD4D4D4"/>
        <rFont val="Consolas"/>
        <family val="3"/>
      </rPr>
      <t> [</t>
    </r>
    <r>
      <rPr>
        <sz val="12"/>
        <color rgb="FFA2C3BB"/>
        <rFont val="Consolas"/>
        <family val="3"/>
      </rPr>
      <t>BP</t>
    </r>
    <r>
      <rPr>
        <sz val="12"/>
        <color rgb="FFD4D4D4"/>
        <rFont val="Consolas"/>
        <family val="3"/>
      </rPr>
      <t> - </t>
    </r>
    <r>
      <rPr>
        <sz val="12"/>
        <color rgb="FFA3D98C"/>
        <rFont val="Consolas"/>
        <family val="3"/>
      </rPr>
      <t>4</t>
    </r>
    <r>
      <rPr>
        <sz val="12"/>
        <color rgb="FFD4D4D4"/>
        <rFont val="Consolas"/>
        <family val="3"/>
      </rPr>
      <t>], </t>
    </r>
    <r>
      <rPr>
        <sz val="12"/>
        <color rgb="FFA3D98C"/>
        <rFont val="Consolas"/>
        <family val="3"/>
      </rPr>
      <t>0C3h</t>
    </r>
  </si>
  <si>
    <t>Nu se folosește setul 3 deoarece '='(3Dh) &gt; '-'(2Dh) &gt; '+'(2Bh)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</si>
</sst>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sz val="12"/>
      <color rgb="FF000000"/>
      <name val="Times New Roman"/>
      <family val="1"/>
    </font>
    <font>
      <b/>
      <sz val="14"/>
      <color rgb="FF000000"/>
      <name val="Consolas"/>
      <family val="3"/>
    </font>
    <font>
      <sz val="12"/>
      <color rgb="FF000000"/>
      <name val="Consolas"/>
      <family val="3"/>
    </font>
    <font>
      <b/>
      <sz val="12"/>
      <color rgb="FF000000"/>
      <name val="Consolas"/>
      <family val="3"/>
    </font>
    <font>
      <sz val="11"/>
      <color rgb="FF000000"/>
      <name val="Consolas"/>
      <family val="3"/>
    </font>
    <font>
      <b/>
      <sz val="11"/>
      <color rgb="FF000000"/>
      <name val="Consolas"/>
      <family val="3"/>
    </font>
    <font>
      <sz val="12"/>
      <color rgb="FFD4D4D4"/>
      <name val="Consolas"/>
      <family val="3"/>
    </font>
    <font>
      <sz val="12"/>
      <color rgb="FF9EC8E5"/>
      <name val="Consolas"/>
      <family val="3"/>
    </font>
    <font>
      <sz val="12"/>
      <color rgb="FFA3D98C"/>
      <name val="Consolas"/>
      <family val="3"/>
    </font>
    <font>
      <sz val="12"/>
      <color rgb="FFB2B1B4"/>
      <name val="Consolas"/>
      <family val="3"/>
    </font>
    <font>
      <sz val="12"/>
      <color rgb="FFB351EC"/>
      <name val="Consolas"/>
      <family val="3"/>
    </font>
    <font>
      <sz val="12"/>
      <color rgb="FF3794CD"/>
      <name val="Consolas"/>
      <family val="3"/>
    </font>
    <font>
      <sz val="12"/>
      <color rgb="FF7AA04B"/>
      <name val="Consolas"/>
      <family val="3"/>
    </font>
    <font>
      <sz val="12"/>
      <color rgb="FFBBCBCB"/>
      <name val="Consolas"/>
      <family val="3"/>
    </font>
    <font>
      <sz val="12"/>
      <color rgb="FFA2C3BB"/>
      <name val="Consolas"/>
      <family val="3"/>
    </font>
    <font>
      <b/>
      <sz val="12"/>
      <color rgb="FF4275B3"/>
      <name val="Consolas"/>
      <family val="3"/>
    </font>
    <font>
      <b/>
      <sz val="12"/>
      <color rgb="FFCF3DFF"/>
      <name val="Consolas"/>
      <family val="3"/>
    </font>
    <font>
      <b/>
      <sz val="12"/>
      <color rgb="FFD4D4D4"/>
      <name val="Consolas"/>
      <family val="3"/>
    </font>
    <font>
      <b/>
      <sz val="12"/>
      <color rgb="FF9EC8E5"/>
      <name val="Consolas"/>
      <family val="3"/>
    </font>
    <font>
      <b/>
      <sz val="12"/>
      <color rgb="FFA3D98C"/>
      <name val="Consolas"/>
      <family val="3"/>
    </font>
    <font>
      <b/>
      <sz val="12"/>
      <color theme="0"/>
      <name val="Consolas"/>
      <family val="3"/>
    </font>
    <font>
      <b/>
      <sz val="11"/>
      <color theme="0"/>
      <name val="Consolas"/>
      <family val="3"/>
    </font>
    <font>
      <sz val="11"/>
      <color theme="0"/>
      <name val="Consolas"/>
      <family val="3"/>
    </font>
    <font>
      <b/>
      <sz val="12"/>
      <color theme="2"/>
      <name val="Consolas"/>
      <family val="3"/>
    </font>
    <font>
      <b/>
      <sz val="11"/>
      <color theme="2"/>
      <name val="Consolas"/>
      <family val="3"/>
    </font>
    <font>
      <sz val="12"/>
      <color theme="2"/>
      <name val="Consolas"/>
      <family val="3"/>
    </font>
    <font>
      <sz val="11"/>
      <color theme="2"/>
      <name val="Consolas"/>
      <family val="3"/>
    </font>
    <font>
      <sz val="11"/>
      <color theme="1"/>
      <name val="Consolas"/>
      <family val="3"/>
    </font>
    <font>
      <sz val="11"/>
      <color rgb="FF000000"/>
      <name val="Calibri"/>
      <family val="2"/>
      <scheme val="minor"/>
    </font>
    <font>
      <b/>
      <sz val="11"/>
      <color rgb="FFE7E6E6"/>
      <name val="Consolas"/>
      <family val="3"/>
    </font>
    <font>
      <sz val="12"/>
      <color rgb="FFCF3DFF"/>
      <name val="Consolas"/>
      <family val="3"/>
    </font>
    <font>
      <sz val="12"/>
      <color rgb="FFFFE29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rgb="FF1E1E1E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theme="0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 style="medium">
        <color theme="2" tint="-0.749961851863155"/>
      </bottom>
      <diagonal/>
    </border>
    <border>
      <left style="medium">
        <color theme="2" tint="-0.749961851863155"/>
      </left>
      <right style="medium">
        <color theme="2" tint="-0.749961851863155"/>
      </right>
      <top style="medium">
        <color theme="2" tint="-0.749961851863155"/>
      </top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/>
      <diagonal/>
    </border>
    <border>
      <left style="medium">
        <color theme="2" tint="-0.749961851863155"/>
      </left>
      <right style="medium">
        <color theme="2" tint="-0.749961851863155"/>
      </right>
      <top/>
      <bottom style="medium">
        <color theme="2" tint="-0.749961851863155"/>
      </bottom>
      <diagonal/>
    </border>
    <border>
      <left style="medium">
        <color theme="1" tint="0.24994659260841701"/>
      </left>
      <right style="medium">
        <color theme="1" tint="0.24994659260841701"/>
      </right>
      <top style="medium">
        <color theme="1" tint="0.24994659260841701"/>
      </top>
      <bottom style="medium">
        <color theme="1" tint="0.24994659260841701"/>
      </bottom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1" fillId="0" borderId="2" xfId="0" applyFont="1" applyBorder="1"/>
    <xf numFmtId="0" fontId="0" fillId="0" borderId="4" xfId="0" applyBorder="1"/>
    <xf numFmtId="0" fontId="0" fillId="0" borderId="6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2" fillId="0" borderId="3" xfId="0" applyFont="1" applyBorder="1" applyAlignment="1">
      <alignment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13" xfId="0" applyFont="1" applyBorder="1" applyAlignment="1">
      <alignment vertical="center" wrapText="1"/>
    </xf>
    <xf numFmtId="0" fontId="3" fillId="0" borderId="14" xfId="0" applyFont="1" applyBorder="1" applyAlignment="1">
      <alignment vertical="center" wrapText="1"/>
    </xf>
    <xf numFmtId="0" fontId="3" fillId="0" borderId="15" xfId="0" applyFont="1" applyBorder="1" applyAlignment="1">
      <alignment vertical="center" wrapText="1"/>
    </xf>
    <xf numFmtId="0" fontId="4" fillId="0" borderId="3" xfId="0" applyFont="1" applyBorder="1" applyAlignment="1">
      <alignment vertical="center"/>
    </xf>
    <xf numFmtId="0" fontId="3" fillId="0" borderId="7" xfId="0" applyFont="1" applyBorder="1" applyAlignment="1">
      <alignment vertical="center" wrapText="1"/>
    </xf>
    <xf numFmtId="0" fontId="3" fillId="0" borderId="5" xfId="0" applyFont="1" applyBorder="1" applyAlignment="1">
      <alignment vertical="center"/>
    </xf>
    <xf numFmtId="0" fontId="3" fillId="0" borderId="16" xfId="0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4" fillId="0" borderId="3" xfId="0" applyFont="1" applyBorder="1" applyAlignment="1">
      <alignment horizontal="center" vertical="center"/>
    </xf>
    <xf numFmtId="0" fontId="5" fillId="0" borderId="13" xfId="0" applyFont="1" applyBorder="1" applyAlignment="1">
      <alignment vertical="center" wrapText="1"/>
    </xf>
    <xf numFmtId="0" fontId="6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6" xfId="0" applyFont="1" applyBorder="1" applyAlignment="1">
      <alignment vertical="center" wrapText="1"/>
    </xf>
    <xf numFmtId="0" fontId="5" fillId="0" borderId="14" xfId="0" applyFont="1" applyBorder="1" applyAlignment="1">
      <alignment vertical="center" wrapText="1"/>
    </xf>
    <xf numFmtId="0" fontId="5" fillId="0" borderId="15" xfId="0" applyFont="1" applyBorder="1" applyAlignment="1">
      <alignment vertical="center" wrapText="1"/>
    </xf>
    <xf numFmtId="0" fontId="5" fillId="0" borderId="7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4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0" borderId="0" xfId="0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4" fillId="0" borderId="5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7" xfId="0" applyFont="1" applyFill="1" applyBorder="1" applyAlignment="1">
      <alignment horizontal="center" vertical="center"/>
    </xf>
    <xf numFmtId="0" fontId="21" fillId="2" borderId="17" xfId="0" applyFont="1" applyFill="1" applyBorder="1" applyAlignment="1">
      <alignment vertical="center"/>
    </xf>
    <xf numFmtId="0" fontId="22" fillId="2" borderId="17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vertical="center"/>
    </xf>
    <xf numFmtId="0" fontId="13" fillId="2" borderId="17" xfId="0" applyFont="1" applyFill="1" applyBorder="1" applyAlignment="1">
      <alignment vertical="center"/>
    </xf>
    <xf numFmtId="0" fontId="5" fillId="2" borderId="17" xfId="0" applyFont="1" applyFill="1" applyBorder="1" applyAlignment="1">
      <alignment vertical="center" wrapText="1"/>
    </xf>
    <xf numFmtId="0" fontId="17" fillId="2" borderId="17" xfId="0" applyFont="1" applyFill="1" applyBorder="1" applyAlignment="1">
      <alignment vertical="center"/>
    </xf>
    <xf numFmtId="0" fontId="23" fillId="2" borderId="17" xfId="0" applyFont="1" applyFill="1" applyBorder="1" applyAlignment="1">
      <alignment horizontal="center" vertical="center"/>
    </xf>
    <xf numFmtId="0" fontId="14" fillId="2" borderId="17" xfId="0" applyFont="1" applyFill="1" applyBorder="1" applyAlignment="1">
      <alignment vertical="center"/>
    </xf>
    <xf numFmtId="0" fontId="8" fillId="2" borderId="17" xfId="0" applyFont="1" applyFill="1" applyBorder="1" applyAlignment="1">
      <alignment vertical="center"/>
    </xf>
    <xf numFmtId="0" fontId="0" fillId="0" borderId="0" xfId="0" applyNumberFormat="1"/>
    <xf numFmtId="0" fontId="24" fillId="2" borderId="17" xfId="0" applyFont="1" applyFill="1" applyBorder="1" applyAlignment="1">
      <alignment horizontal="center" vertical="center"/>
    </xf>
    <xf numFmtId="0" fontId="24" fillId="2" borderId="17" xfId="0" applyFont="1" applyFill="1" applyBorder="1" applyAlignment="1">
      <alignment vertical="center"/>
    </xf>
    <xf numFmtId="0" fontId="25" fillId="2" borderId="17" xfId="0" applyFont="1" applyFill="1" applyBorder="1" applyAlignment="1">
      <alignment horizontal="center" vertical="center"/>
    </xf>
    <xf numFmtId="0" fontId="26" fillId="2" borderId="17" xfId="0" applyFont="1" applyFill="1" applyBorder="1" applyAlignment="1">
      <alignment vertical="center"/>
    </xf>
    <xf numFmtId="0" fontId="27" fillId="2" borderId="17" xfId="0" applyFont="1" applyFill="1" applyBorder="1" applyAlignment="1">
      <alignment vertical="center" wrapText="1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8" fillId="0" borderId="0" xfId="0" applyFont="1"/>
    <xf numFmtId="0" fontId="28" fillId="0" borderId="0" xfId="0" applyNumberFormat="1" applyFont="1"/>
    <xf numFmtId="0" fontId="28" fillId="3" borderId="0" xfId="0" applyFont="1" applyFill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3" borderId="0" xfId="0" applyFill="1"/>
    <xf numFmtId="0" fontId="29" fillId="4" borderId="0" xfId="0" applyFont="1" applyFill="1"/>
    <xf numFmtId="0" fontId="30" fillId="2" borderId="17" xfId="0" applyFont="1" applyFill="1" applyBorder="1" applyAlignment="1">
      <alignment horizontal="center" vertical="center"/>
    </xf>
    <xf numFmtId="0" fontId="29" fillId="4" borderId="10" xfId="0" applyFont="1" applyFill="1" applyBorder="1"/>
    <xf numFmtId="0" fontId="27" fillId="2" borderId="17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49" fontId="28" fillId="0" borderId="0" xfId="0" quotePrefix="1" applyNumberFormat="1" applyFont="1"/>
    <xf numFmtId="49" fontId="0" fillId="0" borderId="0" xfId="0" applyNumberFormat="1"/>
    <xf numFmtId="0" fontId="0" fillId="0" borderId="0" xfId="0" quotePrefix="1" applyAlignment="1">
      <alignment horizontal="left"/>
    </xf>
    <xf numFmtId="0" fontId="0" fillId="5" borderId="0" xfId="0" applyFill="1"/>
    <xf numFmtId="0" fontId="0" fillId="5" borderId="0" xfId="0" applyFill="1" applyAlignment="1">
      <alignment wrapText="1"/>
    </xf>
    <xf numFmtId="0" fontId="0" fillId="2" borderId="0" xfId="0" applyFill="1" applyAlignment="1">
      <alignment vertical="center"/>
    </xf>
    <xf numFmtId="0" fontId="7" fillId="2" borderId="0" xfId="0" applyFont="1" applyFill="1" applyAlignment="1">
      <alignment vertical="center"/>
    </xf>
    <xf numFmtId="0" fontId="13" fillId="2" borderId="0" xfId="0" applyFont="1" applyFill="1" applyAlignment="1">
      <alignment vertical="center"/>
    </xf>
    <xf numFmtId="0" fontId="31" fillId="2" borderId="0" xfId="0" applyFont="1" applyFill="1" applyAlignment="1">
      <alignment vertical="center"/>
    </xf>
    <xf numFmtId="0" fontId="14" fillId="2" borderId="0" xfId="0" applyFont="1" applyFill="1" applyAlignment="1">
      <alignment vertical="center"/>
    </xf>
    <xf numFmtId="0" fontId="8" fillId="2" borderId="0" xfId="0" applyFont="1" applyFill="1" applyAlignment="1">
      <alignment vertical="center"/>
    </xf>
    <xf numFmtId="0" fontId="27" fillId="2" borderId="17" xfId="0" applyFont="1" applyFill="1" applyBorder="1" applyAlignment="1">
      <alignment horizontal="center" vertical="center"/>
    </xf>
    <xf numFmtId="0" fontId="0" fillId="3" borderId="0" xfId="0" applyFill="1" applyAlignment="1">
      <alignment horizontal="fill" wrapText="1"/>
    </xf>
    <xf numFmtId="0" fontId="28" fillId="0" borderId="0" xfId="0" applyFont="1" applyAlignment="1">
      <alignment horizontal="fill"/>
    </xf>
    <xf numFmtId="0" fontId="27" fillId="2" borderId="17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32" fillId="2" borderId="0" xfId="0" applyFont="1" applyFill="1" applyAlignment="1">
      <alignment vertical="center"/>
    </xf>
    <xf numFmtId="0" fontId="24" fillId="2" borderId="21" xfId="0" applyFont="1" applyFill="1" applyBorder="1" applyAlignment="1">
      <alignment horizontal="center" vertical="center"/>
    </xf>
    <xf numFmtId="0" fontId="24" fillId="2" borderId="21" xfId="0" applyFont="1" applyFill="1" applyBorder="1" applyAlignment="1">
      <alignment vertical="center"/>
    </xf>
    <xf numFmtId="0" fontId="27" fillId="2" borderId="21" xfId="0" applyFont="1" applyFill="1" applyBorder="1" applyAlignment="1">
      <alignment horizontal="center" vertical="center"/>
    </xf>
    <xf numFmtId="49" fontId="28" fillId="0" borderId="0" xfId="0" applyNumberFormat="1" applyFont="1"/>
    <xf numFmtId="0" fontId="0" fillId="2" borderId="21" xfId="0" applyFill="1" applyBorder="1" applyAlignment="1">
      <alignment horizontal="center"/>
    </xf>
    <xf numFmtId="0" fontId="30" fillId="2" borderId="21" xfId="0" applyFont="1" applyFill="1" applyBorder="1" applyAlignment="1">
      <alignment horizontal="center" vertical="center"/>
    </xf>
    <xf numFmtId="0" fontId="27" fillId="2" borderId="21" xfId="0" applyFont="1" applyFill="1" applyBorder="1" applyAlignment="1">
      <alignment horizontal="center" vertical="center"/>
    </xf>
    <xf numFmtId="0" fontId="30" fillId="2" borderId="18" xfId="0" applyFont="1" applyFill="1" applyBorder="1" applyAlignment="1">
      <alignment horizontal="center" vertical="center"/>
    </xf>
    <xf numFmtId="0" fontId="30" fillId="2" borderId="19" xfId="0" applyFont="1" applyFill="1" applyBorder="1" applyAlignment="1">
      <alignment horizontal="center" vertical="center"/>
    </xf>
    <xf numFmtId="0" fontId="30" fillId="2" borderId="20" xfId="0" applyFont="1" applyFill="1" applyBorder="1" applyAlignment="1">
      <alignment horizontal="center" vertical="center"/>
    </xf>
    <xf numFmtId="0" fontId="27" fillId="2" borderId="18" xfId="0" applyFont="1" applyFill="1" applyBorder="1" applyAlignment="1">
      <alignment horizontal="center" vertical="center"/>
    </xf>
    <xf numFmtId="0" fontId="27" fillId="2" borderId="19" xfId="0" applyFont="1" applyFill="1" applyBorder="1" applyAlignment="1">
      <alignment horizontal="center" vertical="center"/>
    </xf>
    <xf numFmtId="0" fontId="27" fillId="2" borderId="20" xfId="0" applyFont="1" applyFill="1" applyBorder="1" applyAlignment="1">
      <alignment horizontal="center" vertical="center"/>
    </xf>
    <xf numFmtId="0" fontId="27" fillId="2" borderId="17" xfId="0" applyFont="1" applyFill="1" applyBorder="1" applyAlignment="1">
      <alignment horizontal="center" vertical="center"/>
    </xf>
    <xf numFmtId="0" fontId="23" fillId="2" borderId="17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3" fillId="0" borderId="3" xfId="0" applyFont="1" applyBorder="1" applyAlignment="1">
      <alignment vertical="center"/>
    </xf>
    <xf numFmtId="0" fontId="3" fillId="0" borderId="5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E1E1E"/>
      <color rgb="FFE1E1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A6E5F-8445-49DB-AD5A-92EE9DF4535F}">
  <sheetPr codeName="Sheet17"/>
  <dimension ref="A1:E101"/>
  <sheetViews>
    <sheetView zoomScale="85" zoomScaleNormal="85" workbookViewId="0">
      <selection activeCell="C3" sqref="C3:C91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11" width="9.140625" customWidth="1"/>
  </cols>
  <sheetData>
    <row r="1" spans="1:5" ht="9.9499999999999993" customHeight="1" thickBot="1" x14ac:dyDescent="0.3">
      <c r="A1" s="95"/>
      <c r="B1" s="95"/>
      <c r="C1" s="95"/>
      <c r="D1" s="95"/>
    </row>
    <row r="2" spans="1:5" ht="16.5" thickBot="1" x14ac:dyDescent="0.3">
      <c r="A2" s="95"/>
      <c r="B2" s="91" t="s">
        <v>288</v>
      </c>
      <c r="C2" s="92" t="s">
        <v>14</v>
      </c>
      <c r="D2" s="95"/>
    </row>
    <row r="3" spans="1:5" ht="16.5" thickBot="1" x14ac:dyDescent="0.3">
      <c r="A3" s="95"/>
      <c r="B3" s="96"/>
      <c r="C3" s="80" t="s">
        <v>270</v>
      </c>
      <c r="D3" s="95"/>
    </row>
    <row r="4" spans="1:5" ht="16.5" thickBot="1" x14ac:dyDescent="0.3">
      <c r="A4" s="95"/>
      <c r="B4" s="96"/>
      <c r="C4" s="80" t="s">
        <v>238</v>
      </c>
      <c r="D4" s="95"/>
    </row>
    <row r="5" spans="1:5" ht="16.5" thickBot="1" x14ac:dyDescent="0.3">
      <c r="A5" s="95"/>
      <c r="B5" s="96"/>
      <c r="C5" s="80" t="s">
        <v>271</v>
      </c>
      <c r="D5" s="95"/>
    </row>
    <row r="6" spans="1:5" ht="15.75" thickBot="1" x14ac:dyDescent="0.3">
      <c r="A6" s="95"/>
      <c r="B6" s="96"/>
      <c r="C6" s="79"/>
      <c r="D6" s="95"/>
    </row>
    <row r="7" spans="1:5" ht="16.5" thickBot="1" x14ac:dyDescent="0.3">
      <c r="A7" s="95"/>
      <c r="B7" s="96"/>
      <c r="C7" s="82" t="s">
        <v>295</v>
      </c>
      <c r="D7" s="95"/>
    </row>
    <row r="8" spans="1:5" ht="15.75" thickBot="1" x14ac:dyDescent="0.3">
      <c r="A8" s="95"/>
      <c r="B8" s="96"/>
      <c r="C8" s="79"/>
      <c r="D8" s="95"/>
    </row>
    <row r="9" spans="1:5" ht="16.5" thickBot="1" x14ac:dyDescent="0.3">
      <c r="A9" s="95"/>
      <c r="B9" s="96"/>
      <c r="C9" s="80" t="s">
        <v>272</v>
      </c>
      <c r="D9" s="95"/>
    </row>
    <row r="10" spans="1:5" ht="16.5" thickBot="1" x14ac:dyDescent="0.3">
      <c r="A10" s="95"/>
      <c r="B10" s="96"/>
      <c r="C10" s="80" t="s">
        <v>296</v>
      </c>
      <c r="D10" s="95"/>
    </row>
    <row r="11" spans="1:5" ht="16.5" thickBot="1" x14ac:dyDescent="0.3">
      <c r="A11" s="95"/>
      <c r="B11" s="96"/>
      <c r="C11" s="80" t="s">
        <v>262</v>
      </c>
      <c r="D11" s="95"/>
    </row>
    <row r="12" spans="1:5" ht="16.5" thickBot="1" x14ac:dyDescent="0.3">
      <c r="A12" s="95"/>
      <c r="B12" s="96"/>
      <c r="C12" s="80" t="s">
        <v>297</v>
      </c>
      <c r="D12" s="95"/>
    </row>
    <row r="13" spans="1:5" ht="16.5" thickBot="1" x14ac:dyDescent="0.3">
      <c r="A13" s="95"/>
      <c r="B13" s="96"/>
      <c r="C13" s="80" t="s">
        <v>298</v>
      </c>
      <c r="D13" s="95"/>
    </row>
    <row r="14" spans="1:5" ht="16.5" thickBot="1" x14ac:dyDescent="0.3">
      <c r="A14" s="95"/>
      <c r="B14" s="96"/>
      <c r="C14" s="80" t="s">
        <v>299</v>
      </c>
      <c r="D14" s="95"/>
    </row>
    <row r="15" spans="1:5" ht="16.5" customHeight="1" thickBot="1" x14ac:dyDescent="0.3">
      <c r="A15" s="95"/>
      <c r="B15" s="96"/>
      <c r="C15" s="80" t="s">
        <v>300</v>
      </c>
      <c r="D15" s="95"/>
    </row>
    <row r="16" spans="1:5" ht="17.100000000000001" customHeight="1" thickBot="1" x14ac:dyDescent="0.3">
      <c r="A16" s="95"/>
      <c r="B16" s="96"/>
      <c r="C16" s="80" t="s">
        <v>301</v>
      </c>
      <c r="D16" s="95"/>
      <c r="E16" s="68"/>
    </row>
    <row r="17" spans="1:5" ht="17.100000000000001" customHeight="1" thickBot="1" x14ac:dyDescent="0.3">
      <c r="A17" s="95"/>
      <c r="B17" s="96"/>
      <c r="C17" s="80" t="s">
        <v>302</v>
      </c>
      <c r="D17" s="95"/>
      <c r="E17" s="68"/>
    </row>
    <row r="18" spans="1:5" ht="17.100000000000001" customHeight="1" thickBot="1" x14ac:dyDescent="0.3">
      <c r="A18" s="95"/>
      <c r="B18" s="96"/>
      <c r="C18" s="80" t="s">
        <v>273</v>
      </c>
      <c r="D18" s="95"/>
      <c r="E18" s="68"/>
    </row>
    <row r="19" spans="1:5" ht="17.100000000000001" customHeight="1" thickBot="1" x14ac:dyDescent="0.3">
      <c r="A19" s="95"/>
      <c r="B19" s="96"/>
      <c r="C19" s="80" t="s">
        <v>263</v>
      </c>
      <c r="D19" s="95"/>
      <c r="E19" s="68"/>
    </row>
    <row r="20" spans="1:5" ht="17.100000000000001" customHeight="1" thickBot="1" x14ac:dyDescent="0.3">
      <c r="A20" s="95"/>
      <c r="B20" s="96"/>
      <c r="C20" s="79"/>
      <c r="D20" s="95"/>
      <c r="E20" s="68"/>
    </row>
    <row r="21" spans="1:5" ht="17.100000000000001" customHeight="1" thickBot="1" x14ac:dyDescent="0.3">
      <c r="A21" s="95"/>
      <c r="B21" s="96"/>
      <c r="C21" s="81" t="s">
        <v>202</v>
      </c>
      <c r="D21" s="95"/>
    </row>
    <row r="22" spans="1:5" ht="17.100000000000001" customHeight="1" thickBot="1" x14ac:dyDescent="0.3">
      <c r="A22" s="95"/>
      <c r="B22" s="96"/>
      <c r="C22" s="81" t="s">
        <v>203</v>
      </c>
      <c r="D22" s="95"/>
    </row>
    <row r="23" spans="1:5" ht="17.100000000000001" customHeight="1" thickBot="1" x14ac:dyDescent="0.3">
      <c r="A23" s="95"/>
      <c r="B23" s="96"/>
      <c r="C23" s="81" t="s">
        <v>226</v>
      </c>
      <c r="D23" s="95"/>
    </row>
    <row r="24" spans="1:5" ht="17.100000000000001" customHeight="1" thickBot="1" x14ac:dyDescent="0.3">
      <c r="A24" s="95"/>
      <c r="B24" s="96"/>
      <c r="C24" s="81" t="s">
        <v>227</v>
      </c>
      <c r="D24" s="95"/>
    </row>
    <row r="25" spans="1:5" ht="17.100000000000001" customHeight="1" thickBot="1" x14ac:dyDescent="0.3">
      <c r="A25" s="95"/>
      <c r="B25" s="96"/>
      <c r="C25" s="81" t="s">
        <v>228</v>
      </c>
      <c r="D25" s="95"/>
    </row>
    <row r="26" spans="1:5" ht="17.100000000000001" customHeight="1" thickBot="1" x14ac:dyDescent="0.3">
      <c r="A26" s="95"/>
      <c r="B26" s="96"/>
      <c r="C26" s="90" t="s">
        <v>303</v>
      </c>
      <c r="D26" s="95"/>
    </row>
    <row r="27" spans="1:5" ht="17.100000000000001" customHeight="1" thickBot="1" x14ac:dyDescent="0.3">
      <c r="A27" s="95"/>
      <c r="B27" s="96"/>
      <c r="C27" s="80" t="s">
        <v>239</v>
      </c>
      <c r="D27" s="95"/>
    </row>
    <row r="28" spans="1:5" ht="17.100000000000001" customHeight="1" thickBot="1" x14ac:dyDescent="0.3">
      <c r="A28" s="95"/>
      <c r="B28" s="96"/>
      <c r="C28" s="90" t="s">
        <v>289</v>
      </c>
      <c r="D28" s="95"/>
    </row>
    <row r="29" spans="1:5" ht="17.100000000000001" customHeight="1" thickBot="1" x14ac:dyDescent="0.3">
      <c r="A29" s="95"/>
      <c r="B29" s="96"/>
      <c r="C29" s="79"/>
      <c r="D29" s="95"/>
    </row>
    <row r="30" spans="1:5" ht="17.100000000000001" customHeight="1" thickBot="1" x14ac:dyDescent="0.3">
      <c r="A30" s="95"/>
      <c r="B30" s="96"/>
      <c r="C30" s="90" t="s">
        <v>304</v>
      </c>
      <c r="D30" s="95"/>
    </row>
    <row r="31" spans="1:5" ht="17.100000000000001" customHeight="1" thickBot="1" x14ac:dyDescent="0.3">
      <c r="A31" s="95"/>
      <c r="B31" s="96"/>
      <c r="C31" s="80" t="s">
        <v>204</v>
      </c>
      <c r="D31" s="95"/>
    </row>
    <row r="32" spans="1:5" ht="17.100000000000001" customHeight="1" thickBot="1" x14ac:dyDescent="0.3">
      <c r="A32" s="95"/>
      <c r="B32" s="96"/>
      <c r="C32" s="80" t="s">
        <v>205</v>
      </c>
      <c r="D32" s="95"/>
    </row>
    <row r="33" spans="1:4" ht="17.100000000000001" customHeight="1" thickBot="1" x14ac:dyDescent="0.3">
      <c r="A33" s="95"/>
      <c r="B33" s="96"/>
      <c r="C33" s="90" t="s">
        <v>274</v>
      </c>
      <c r="D33" s="95"/>
    </row>
    <row r="34" spans="1:4" ht="17.100000000000001" customHeight="1" thickBot="1" x14ac:dyDescent="0.3">
      <c r="A34" s="95"/>
      <c r="B34" s="96"/>
      <c r="C34" s="79"/>
      <c r="D34" s="95"/>
    </row>
    <row r="35" spans="1:4" ht="17.100000000000001" customHeight="1" thickBot="1" x14ac:dyDescent="0.3">
      <c r="A35" s="95"/>
      <c r="B35" s="96"/>
      <c r="C35" s="83" t="s">
        <v>22</v>
      </c>
      <c r="D35" s="95"/>
    </row>
    <row r="36" spans="1:4" ht="17.100000000000001" customHeight="1" thickBot="1" x14ac:dyDescent="0.3">
      <c r="A36" s="95"/>
      <c r="B36" s="96"/>
      <c r="C36" s="80" t="s">
        <v>75</v>
      </c>
      <c r="D36" s="95"/>
    </row>
    <row r="37" spans="1:4" ht="17.100000000000001" customHeight="1" thickBot="1" x14ac:dyDescent="0.3">
      <c r="A37" s="95"/>
      <c r="B37" s="96"/>
      <c r="C37" s="80" t="s">
        <v>275</v>
      </c>
      <c r="D37" s="95"/>
    </row>
    <row r="38" spans="1:4" ht="17.100000000000001" customHeight="1" thickBot="1" x14ac:dyDescent="0.3">
      <c r="A38" s="95"/>
      <c r="B38" s="96"/>
      <c r="C38" s="80" t="s">
        <v>77</v>
      </c>
      <c r="D38" s="95"/>
    </row>
    <row r="39" spans="1:4" ht="17.100000000000001" customHeight="1" thickBot="1" x14ac:dyDescent="0.3">
      <c r="A39" s="95"/>
      <c r="B39" s="96"/>
      <c r="C39" s="80" t="s">
        <v>290</v>
      </c>
      <c r="D39" s="95"/>
    </row>
    <row r="40" spans="1:4" ht="17.100000000000001" customHeight="1" thickBot="1" x14ac:dyDescent="0.3">
      <c r="A40" s="95"/>
      <c r="B40" s="96"/>
      <c r="C40" s="80" t="s">
        <v>78</v>
      </c>
      <c r="D40" s="95"/>
    </row>
    <row r="41" spans="1:4" ht="17.100000000000001" customHeight="1" thickBot="1" x14ac:dyDescent="0.3">
      <c r="A41" s="95"/>
      <c r="B41" s="93">
        <v>1</v>
      </c>
      <c r="C41" s="80" t="s">
        <v>79</v>
      </c>
      <c r="D41" s="95"/>
    </row>
    <row r="42" spans="1:4" ht="17.100000000000001" customHeight="1" thickBot="1" x14ac:dyDescent="0.3">
      <c r="A42" s="95"/>
      <c r="B42" s="93">
        <v>2</v>
      </c>
      <c r="C42" s="80" t="s">
        <v>305</v>
      </c>
      <c r="D42" s="95"/>
    </row>
    <row r="43" spans="1:4" ht="17.100000000000001" customHeight="1" thickBot="1" x14ac:dyDescent="0.3">
      <c r="A43" s="95"/>
      <c r="B43" s="93">
        <v>3</v>
      </c>
      <c r="C43" s="80" t="s">
        <v>80</v>
      </c>
      <c r="D43" s="95"/>
    </row>
    <row r="44" spans="1:4" ht="17.100000000000001" customHeight="1" thickBot="1" x14ac:dyDescent="0.3">
      <c r="A44" s="95"/>
      <c r="B44" s="93">
        <v>4</v>
      </c>
      <c r="C44" s="80" t="s">
        <v>81</v>
      </c>
      <c r="D44" s="95"/>
    </row>
    <row r="45" spans="1:4" ht="17.100000000000001" customHeight="1" thickBot="1" x14ac:dyDescent="0.3">
      <c r="A45" s="95"/>
      <c r="B45" s="93">
        <v>5</v>
      </c>
      <c r="C45" s="80" t="s">
        <v>81</v>
      </c>
      <c r="D45" s="95"/>
    </row>
    <row r="46" spans="1:4" ht="17.100000000000001" customHeight="1" thickBot="1" x14ac:dyDescent="0.3">
      <c r="A46" s="95"/>
      <c r="B46" s="93">
        <v>6</v>
      </c>
      <c r="C46" s="80" t="s">
        <v>82</v>
      </c>
      <c r="D46" s="95"/>
    </row>
    <row r="47" spans="1:4" ht="17.100000000000001" customHeight="1" thickBot="1" x14ac:dyDescent="0.3">
      <c r="A47" s="95"/>
      <c r="B47" s="93">
        <v>7</v>
      </c>
      <c r="C47" s="80" t="s">
        <v>306</v>
      </c>
      <c r="D47" s="95"/>
    </row>
    <row r="48" spans="1:4" ht="17.100000000000001" customHeight="1" thickBot="1" x14ac:dyDescent="0.3">
      <c r="A48" s="95"/>
      <c r="B48" s="93">
        <v>8</v>
      </c>
      <c r="C48" s="80" t="s">
        <v>293</v>
      </c>
      <c r="D48" s="95"/>
    </row>
    <row r="49" spans="1:4" ht="17.100000000000001" customHeight="1" thickBot="1" x14ac:dyDescent="0.3">
      <c r="A49" s="95"/>
      <c r="B49" s="93">
        <v>9</v>
      </c>
      <c r="C49" s="80" t="s">
        <v>206</v>
      </c>
      <c r="D49" s="95"/>
    </row>
    <row r="50" spans="1:4" ht="17.100000000000001" customHeight="1" thickBot="1" x14ac:dyDescent="0.3">
      <c r="A50" s="95"/>
      <c r="B50" s="93">
        <v>10</v>
      </c>
      <c r="C50" s="80" t="s">
        <v>207</v>
      </c>
      <c r="D50" s="95"/>
    </row>
    <row r="51" spans="1:4" ht="17.100000000000001" customHeight="1" thickBot="1" x14ac:dyDescent="0.3">
      <c r="A51" s="95"/>
      <c r="B51" s="93">
        <v>11</v>
      </c>
      <c r="C51" s="80" t="s">
        <v>307</v>
      </c>
      <c r="D51" s="95"/>
    </row>
    <row r="52" spans="1:4" ht="17.100000000000001" customHeight="1" thickBot="1" x14ac:dyDescent="0.3">
      <c r="A52" s="95"/>
      <c r="B52" s="93">
        <v>12</v>
      </c>
      <c r="C52" s="80" t="s">
        <v>294</v>
      </c>
      <c r="D52" s="95"/>
    </row>
    <row r="53" spans="1:4" ht="17.100000000000001" customHeight="1" thickBot="1" x14ac:dyDescent="0.3">
      <c r="A53" s="95"/>
      <c r="B53" s="93">
        <v>13</v>
      </c>
      <c r="C53" s="80" t="s">
        <v>208</v>
      </c>
      <c r="D53" s="95"/>
    </row>
    <row r="54" spans="1:4" ht="17.100000000000001" customHeight="1" thickBot="1" x14ac:dyDescent="0.3">
      <c r="A54" s="95"/>
      <c r="B54" s="93">
        <v>14</v>
      </c>
      <c r="C54" s="80" t="s">
        <v>214</v>
      </c>
      <c r="D54" s="95"/>
    </row>
    <row r="55" spans="1:4" ht="17.100000000000001" customHeight="1" thickBot="1" x14ac:dyDescent="0.3">
      <c r="A55" s="95"/>
      <c r="B55" s="93">
        <v>15</v>
      </c>
      <c r="C55" s="80" t="s">
        <v>218</v>
      </c>
      <c r="D55" s="95"/>
    </row>
    <row r="56" spans="1:4" ht="17.100000000000001" customHeight="1" thickBot="1" x14ac:dyDescent="0.3">
      <c r="A56" s="95"/>
      <c r="B56" s="93">
        <v>16</v>
      </c>
      <c r="C56" s="80" t="s">
        <v>291</v>
      </c>
      <c r="D56" s="95"/>
    </row>
    <row r="57" spans="1:4" ht="17.100000000000001" customHeight="1" thickBot="1" x14ac:dyDescent="0.3">
      <c r="A57" s="95"/>
      <c r="B57" s="93">
        <v>17</v>
      </c>
      <c r="C57" s="80" t="s">
        <v>292</v>
      </c>
      <c r="D57" s="95"/>
    </row>
    <row r="58" spans="1:4" ht="17.100000000000001" customHeight="1" thickBot="1" x14ac:dyDescent="0.3">
      <c r="A58" s="95"/>
      <c r="B58" s="93">
        <v>18</v>
      </c>
      <c r="C58" s="80" t="s">
        <v>209</v>
      </c>
      <c r="D58" s="95"/>
    </row>
    <row r="59" spans="1:4" ht="17.100000000000001" customHeight="1" thickBot="1" x14ac:dyDescent="0.3">
      <c r="A59" s="95"/>
      <c r="B59" s="93">
        <v>19</v>
      </c>
      <c r="C59" s="80" t="s">
        <v>276</v>
      </c>
      <c r="D59" s="95"/>
    </row>
    <row r="60" spans="1:4" ht="17.100000000000001" customHeight="1" thickBot="1" x14ac:dyDescent="0.3">
      <c r="A60" s="95"/>
      <c r="B60" s="93">
        <v>20</v>
      </c>
      <c r="C60" s="80" t="s">
        <v>277</v>
      </c>
      <c r="D60" s="95"/>
    </row>
    <row r="61" spans="1:4" ht="17.100000000000001" customHeight="1" thickBot="1" x14ac:dyDescent="0.3">
      <c r="A61" s="95"/>
      <c r="B61" s="93">
        <v>21</v>
      </c>
      <c r="C61" s="80" t="s">
        <v>278</v>
      </c>
      <c r="D61" s="95"/>
    </row>
    <row r="62" spans="1:4" ht="17.100000000000001" customHeight="1" thickBot="1" x14ac:dyDescent="0.3">
      <c r="A62" s="95"/>
      <c r="B62" s="93"/>
      <c r="C62" s="80" t="s">
        <v>210</v>
      </c>
      <c r="D62" s="95"/>
    </row>
    <row r="63" spans="1:4" ht="17.100000000000001" customHeight="1" thickBot="1" x14ac:dyDescent="0.3">
      <c r="A63" s="95"/>
      <c r="B63" s="93">
        <v>22</v>
      </c>
      <c r="C63" s="80" t="s">
        <v>240</v>
      </c>
      <c r="D63" s="95"/>
    </row>
    <row r="64" spans="1:4" ht="17.100000000000001" customHeight="1" thickBot="1" x14ac:dyDescent="0.3">
      <c r="A64" s="95"/>
      <c r="B64" s="93">
        <v>23</v>
      </c>
      <c r="C64" s="80" t="s">
        <v>211</v>
      </c>
      <c r="D64" s="95"/>
    </row>
    <row r="65" spans="1:4" ht="17.100000000000001" customHeight="1" thickBot="1" x14ac:dyDescent="0.3">
      <c r="A65" s="95"/>
      <c r="B65" s="93">
        <v>24</v>
      </c>
      <c r="C65" s="80" t="s">
        <v>241</v>
      </c>
      <c r="D65" s="95"/>
    </row>
    <row r="66" spans="1:4" ht="17.100000000000001" customHeight="1" thickBot="1" x14ac:dyDescent="0.3">
      <c r="A66" s="95"/>
      <c r="B66" s="93">
        <v>25</v>
      </c>
      <c r="C66" s="80" t="s">
        <v>279</v>
      </c>
      <c r="D66" s="95"/>
    </row>
    <row r="67" spans="1:4" ht="17.100000000000001" customHeight="1" thickBot="1" x14ac:dyDescent="0.3">
      <c r="A67" s="95"/>
      <c r="B67" s="93"/>
      <c r="C67" s="80" t="s">
        <v>212</v>
      </c>
      <c r="D67" s="95"/>
    </row>
    <row r="68" spans="1:4" ht="17.100000000000001" customHeight="1" thickBot="1" x14ac:dyDescent="0.3">
      <c r="A68" s="95"/>
      <c r="B68" s="93">
        <v>26</v>
      </c>
      <c r="C68" s="80" t="s">
        <v>308</v>
      </c>
      <c r="D68" s="95"/>
    </row>
    <row r="69" spans="1:4" ht="17.100000000000001" customHeight="1" thickBot="1" x14ac:dyDescent="0.3">
      <c r="A69" s="95"/>
      <c r="B69" s="93">
        <v>27</v>
      </c>
      <c r="C69" s="80" t="s">
        <v>211</v>
      </c>
      <c r="D69" s="95"/>
    </row>
    <row r="70" spans="1:4" ht="17.100000000000001" customHeight="1" thickBot="1" x14ac:dyDescent="0.3">
      <c r="A70" s="95"/>
      <c r="B70" s="93">
        <v>28</v>
      </c>
      <c r="C70" s="80" t="s">
        <v>309</v>
      </c>
      <c r="D70" s="95"/>
    </row>
    <row r="71" spans="1:4" ht="17.100000000000001" customHeight="1" thickBot="1" x14ac:dyDescent="0.3">
      <c r="A71" s="95"/>
      <c r="B71" s="93"/>
      <c r="C71" s="80" t="s">
        <v>213</v>
      </c>
      <c r="D71" s="95"/>
    </row>
    <row r="72" spans="1:4" ht="17.100000000000001" customHeight="1" thickBot="1" x14ac:dyDescent="0.3">
      <c r="A72" s="95"/>
      <c r="B72" s="93">
        <v>29</v>
      </c>
      <c r="C72" s="80" t="s">
        <v>214</v>
      </c>
      <c r="D72" s="95"/>
    </row>
    <row r="73" spans="1:4" ht="17.100000000000001" customHeight="1" thickBot="1" x14ac:dyDescent="0.3">
      <c r="A73" s="95"/>
      <c r="B73" s="93">
        <v>30</v>
      </c>
      <c r="C73" s="80" t="s">
        <v>215</v>
      </c>
      <c r="D73" s="95"/>
    </row>
    <row r="74" spans="1:4" ht="17.100000000000001" customHeight="1" thickBot="1" x14ac:dyDescent="0.3">
      <c r="A74" s="95"/>
      <c r="B74" s="93">
        <v>31</v>
      </c>
      <c r="C74" s="80" t="s">
        <v>216</v>
      </c>
      <c r="D74" s="95"/>
    </row>
    <row r="75" spans="1:4" ht="17.100000000000001" customHeight="1" thickBot="1" x14ac:dyDescent="0.3">
      <c r="A75" s="95"/>
      <c r="B75" s="93">
        <v>32</v>
      </c>
      <c r="C75" s="80" t="s">
        <v>217</v>
      </c>
      <c r="D75" s="95"/>
    </row>
    <row r="76" spans="1:4" ht="17.100000000000001" customHeight="1" thickBot="1" x14ac:dyDescent="0.3">
      <c r="A76" s="95"/>
      <c r="B76" s="93">
        <v>33</v>
      </c>
      <c r="C76" s="80" t="s">
        <v>218</v>
      </c>
      <c r="D76" s="95"/>
    </row>
    <row r="77" spans="1:4" ht="17.100000000000001" customHeight="1" thickBot="1" x14ac:dyDescent="0.3">
      <c r="A77" s="95"/>
      <c r="B77" s="93">
        <v>34</v>
      </c>
      <c r="C77" s="80" t="s">
        <v>219</v>
      </c>
      <c r="D77" s="95"/>
    </row>
    <row r="78" spans="1:4" ht="17.100000000000001" customHeight="1" thickBot="1" x14ac:dyDescent="0.3">
      <c r="A78" s="95"/>
      <c r="B78" s="93">
        <v>35</v>
      </c>
      <c r="C78" s="80" t="s">
        <v>310</v>
      </c>
      <c r="D78" s="95"/>
    </row>
    <row r="79" spans="1:4" ht="17.100000000000001" customHeight="1" thickBot="1" x14ac:dyDescent="0.3">
      <c r="A79" s="95"/>
      <c r="B79" s="93">
        <v>36</v>
      </c>
      <c r="C79" s="80" t="s">
        <v>311</v>
      </c>
      <c r="D79" s="95"/>
    </row>
    <row r="80" spans="1:4" ht="17.100000000000001" customHeight="1" thickBot="1" x14ac:dyDescent="0.3">
      <c r="A80" s="95"/>
      <c r="B80" s="93">
        <v>37</v>
      </c>
      <c r="C80" s="80" t="s">
        <v>312</v>
      </c>
      <c r="D80" s="95"/>
    </row>
    <row r="81" spans="1:4" ht="17.100000000000001" customHeight="1" thickBot="1" x14ac:dyDescent="0.3">
      <c r="A81" s="95"/>
      <c r="B81" s="93">
        <v>38</v>
      </c>
      <c r="C81" s="80" t="s">
        <v>313</v>
      </c>
      <c r="D81" s="95"/>
    </row>
    <row r="82" spans="1:4" ht="17.100000000000001" customHeight="1" thickBot="1" x14ac:dyDescent="0.3">
      <c r="A82" s="95"/>
      <c r="B82" s="93">
        <v>39</v>
      </c>
      <c r="C82" s="80" t="s">
        <v>280</v>
      </c>
      <c r="D82" s="95"/>
    </row>
    <row r="83" spans="1:4" ht="17.100000000000001" customHeight="1" thickBot="1" x14ac:dyDescent="0.3">
      <c r="A83" s="95"/>
      <c r="B83" s="93">
        <v>40</v>
      </c>
      <c r="C83" s="80" t="s">
        <v>220</v>
      </c>
      <c r="D83" s="95"/>
    </row>
    <row r="84" spans="1:4" ht="17.100000000000001" customHeight="1" thickBot="1" x14ac:dyDescent="0.3">
      <c r="A84" s="95"/>
      <c r="B84" s="93">
        <v>41</v>
      </c>
      <c r="C84" s="80" t="s">
        <v>221</v>
      </c>
      <c r="D84" s="95"/>
    </row>
    <row r="85" spans="1:4" ht="17.100000000000001" customHeight="1" thickBot="1" x14ac:dyDescent="0.3">
      <c r="A85" s="95"/>
      <c r="B85" s="93">
        <v>42</v>
      </c>
      <c r="C85" s="80" t="s">
        <v>222</v>
      </c>
      <c r="D85" s="95"/>
    </row>
    <row r="86" spans="1:4" ht="17.100000000000001" customHeight="1" thickBot="1" x14ac:dyDescent="0.3">
      <c r="A86" s="95"/>
      <c r="B86" s="93">
        <v>43</v>
      </c>
      <c r="C86" s="80" t="s">
        <v>223</v>
      </c>
      <c r="D86" s="95"/>
    </row>
    <row r="87" spans="1:4" ht="17.100000000000001" customHeight="1" thickBot="1" x14ac:dyDescent="0.3">
      <c r="A87" s="95"/>
      <c r="B87" s="93">
        <v>44</v>
      </c>
      <c r="C87" s="80" t="s">
        <v>224</v>
      </c>
      <c r="D87" s="95"/>
    </row>
    <row r="88" spans="1:4" ht="17.100000000000001" customHeight="1" thickBot="1" x14ac:dyDescent="0.3">
      <c r="A88" s="95"/>
      <c r="B88" s="97"/>
      <c r="C88" s="80" t="s">
        <v>225</v>
      </c>
      <c r="D88" s="95"/>
    </row>
    <row r="89" spans="1:4" ht="17.100000000000001" customHeight="1" thickBot="1" x14ac:dyDescent="0.3">
      <c r="A89" s="95"/>
      <c r="B89" s="97"/>
      <c r="C89" s="80" t="s">
        <v>281</v>
      </c>
      <c r="D89" s="95"/>
    </row>
    <row r="90" spans="1:4" ht="17.100000000000001" customHeight="1" thickBot="1" x14ac:dyDescent="0.3">
      <c r="A90" s="95"/>
      <c r="B90" s="97"/>
      <c r="C90" s="80" t="s">
        <v>282</v>
      </c>
      <c r="D90" s="95"/>
    </row>
    <row r="91" spans="1:4" ht="16.5" thickBot="1" x14ac:dyDescent="0.3">
      <c r="A91" s="95"/>
      <c r="B91" s="97"/>
      <c r="C91" s="84" t="s">
        <v>283</v>
      </c>
      <c r="D91" s="95"/>
    </row>
    <row r="92" spans="1:4" ht="15" customHeight="1" thickBot="1" x14ac:dyDescent="0.3">
      <c r="A92" s="95"/>
      <c r="B92" s="95"/>
      <c r="C92" s="95"/>
      <c r="D92" s="95"/>
    </row>
    <row r="93" spans="1:4" ht="15" customHeight="1" x14ac:dyDescent="0.25"/>
    <row r="94" spans="1:4" ht="15" customHeight="1" x14ac:dyDescent="0.25"/>
    <row r="95" spans="1:4" ht="15" customHeight="1" x14ac:dyDescent="0.25"/>
    <row r="96" spans="1:4" ht="15" customHeight="1" x14ac:dyDescent="0.25"/>
    <row r="97" spans="3:3" ht="15" customHeight="1" x14ac:dyDescent="0.25"/>
    <row r="98" spans="3:3" ht="15" customHeight="1" x14ac:dyDescent="0.25"/>
    <row r="99" spans="3:3" ht="15" customHeight="1" x14ac:dyDescent="0.25"/>
    <row r="100" spans="3:3" ht="15" customHeight="1" x14ac:dyDescent="0.25">
      <c r="C100" s="23"/>
    </row>
    <row r="101" spans="3:3" ht="15" customHeight="1" x14ac:dyDescent="0.25"/>
  </sheetData>
  <mergeCells count="6">
    <mergeCell ref="D1:D92"/>
    <mergeCell ref="B1:C1"/>
    <mergeCell ref="B3:B40"/>
    <mergeCell ref="B88:B91"/>
    <mergeCell ref="A1:A92"/>
    <mergeCell ref="B92:C9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FE799-A1DE-4EA2-8383-4753912A998A}">
  <sheetPr codeName="Sheet20"/>
  <dimension ref="A1:K200"/>
  <sheetViews>
    <sheetView tabSelected="1" topLeftCell="B94" zoomScale="85" zoomScaleNormal="85" workbookViewId="0">
      <selection activeCell="C108" sqref="C108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288</v>
      </c>
      <c r="C2" s="55" t="s">
        <v>14</v>
      </c>
      <c r="D2" s="10"/>
    </row>
    <row r="3" spans="1:6" ht="16.5" thickBot="1" x14ac:dyDescent="0.3">
      <c r="A3" s="70"/>
      <c r="B3" s="98"/>
      <c r="C3" s="57" t="s">
        <v>252</v>
      </c>
      <c r="D3" s="10"/>
    </row>
    <row r="4" spans="1:6" ht="16.5" thickBot="1" x14ac:dyDescent="0.3">
      <c r="A4" s="8"/>
      <c r="B4" s="99"/>
      <c r="C4" s="57" t="s">
        <v>236</v>
      </c>
      <c r="D4" s="10"/>
    </row>
    <row r="5" spans="1:6" ht="16.5" thickBot="1" x14ac:dyDescent="0.3">
      <c r="A5" s="70"/>
      <c r="B5" s="99"/>
      <c r="C5" s="57" t="s">
        <v>242</v>
      </c>
      <c r="D5" s="10"/>
    </row>
    <row r="6" spans="1:6" ht="16.5" thickBot="1" x14ac:dyDescent="0.3">
      <c r="A6" s="70"/>
      <c r="B6" s="99"/>
      <c r="C6" s="57" t="str">
        <f ca="1">IF(C171="near", "  _IP DW ?", "  _CS_IP DD ?")</f>
        <v xml:space="preserve">  _IP DW ?</v>
      </c>
      <c r="D6" s="10"/>
    </row>
    <row r="7" spans="1:6" ht="16.5" thickBot="1" x14ac:dyDescent="0.3">
      <c r="A7" s="8"/>
      <c r="B7" s="99"/>
      <c r="C7" s="57" t="s">
        <v>243</v>
      </c>
      <c r="D7" s="10"/>
    </row>
    <row r="8" spans="1:6" ht="16.5" thickBot="1" x14ac:dyDescent="0.3">
      <c r="A8" s="8"/>
      <c r="B8" s="99"/>
      <c r="C8" s="57" t="s">
        <v>244</v>
      </c>
      <c r="D8" s="10"/>
    </row>
    <row r="9" spans="1:6" ht="16.5" thickBot="1" x14ac:dyDescent="0.3">
      <c r="A9" s="8"/>
      <c r="B9" s="99"/>
      <c r="C9" s="57" t="s">
        <v>253</v>
      </c>
      <c r="D9" s="10"/>
    </row>
    <row r="10" spans="1:6" ht="15.75" thickBot="1" x14ac:dyDescent="0.3">
      <c r="A10" s="8"/>
      <c r="B10" s="99"/>
      <c r="C10" s="58"/>
      <c r="D10" s="10"/>
    </row>
    <row r="11" spans="1:6" ht="16.5" thickBot="1" x14ac:dyDescent="0.3">
      <c r="A11" s="8"/>
      <c r="B11" s="99"/>
      <c r="C11" s="55" t="str">
        <f ca="1">_xlfn.CONCAT("masca equ ", C152)</f>
        <v>masca equ 1100110011111111b</v>
      </c>
      <c r="D11" s="10"/>
    </row>
    <row r="12" spans="1:6" ht="15.75" thickBot="1" x14ac:dyDescent="0.3">
      <c r="A12" s="8"/>
      <c r="B12" s="99"/>
      <c r="C12" s="58"/>
      <c r="D12" s="10"/>
    </row>
    <row r="13" spans="1:6" ht="16.5" thickBot="1" x14ac:dyDescent="0.3">
      <c r="A13" s="8"/>
      <c r="B13" s="99"/>
      <c r="C13" s="57" t="s">
        <v>261</v>
      </c>
      <c r="D13" s="10"/>
    </row>
    <row r="14" spans="1:6" ht="16.5" thickBot="1" x14ac:dyDescent="0.3">
      <c r="A14" s="8"/>
      <c r="B14" s="99"/>
      <c r="C14" s="57" t="str">
        <f ca="1">_xlfn.CONCAT(".STACK ", C139)</f>
        <v>.STACK 1690</v>
      </c>
      <c r="D14" s="10"/>
    </row>
    <row r="15" spans="1:6" ht="16.5" customHeight="1" thickBot="1" x14ac:dyDescent="0.3">
      <c r="A15" s="7"/>
      <c r="B15" s="99"/>
      <c r="C15" s="57" t="s">
        <v>262</v>
      </c>
      <c r="D15" s="10"/>
      <c r="F15" s="67" t="s">
        <v>184</v>
      </c>
    </row>
    <row r="16" spans="1:6" ht="17.100000000000001" customHeight="1" thickBot="1" x14ac:dyDescent="0.3">
      <c r="A16" s="7"/>
      <c r="B16" s="99"/>
      <c r="C16" s="57" t="str">
        <f ca="1">_xlfn.CONCAT("  var1 ", E16)</f>
        <v xml:space="preserve">  var1 DD 9E29BC09h</v>
      </c>
      <c r="D16" s="10"/>
      <c r="E16" s="68" t="str">
        <f ca="1">_xlfn.CONCAT("DD ", E135)</f>
        <v>DD 9E29BC09h</v>
      </c>
      <c r="F16" s="67" t="s">
        <v>185</v>
      </c>
    </row>
    <row r="17" spans="1:6" ht="17.100000000000001" customHeight="1" thickBot="1" x14ac:dyDescent="0.3">
      <c r="A17" s="7"/>
      <c r="B17" s="99"/>
      <c r="C17" s="57" t="str">
        <f ca="1">_xlfn.CONCAT("  var2 ", E17)</f>
        <v xml:space="preserve">  var2 DB 0D1h</v>
      </c>
      <c r="D17" s="10"/>
      <c r="E17" s="68" t="str">
        <f ca="1">_xlfn.CONCAT("DB ", E123)</f>
        <v>DB 0D1h</v>
      </c>
      <c r="F17" s="67"/>
    </row>
    <row r="18" spans="1:6" ht="17.100000000000001" customHeight="1" thickBot="1" x14ac:dyDescent="0.3">
      <c r="A18" s="7"/>
      <c r="B18" s="99"/>
      <c r="C18" s="57" t="str">
        <f ca="1">_xlfn.CONCAT("  var3 ", E18)</f>
        <v xml:space="preserve">  var3 DB 7Ch</v>
      </c>
      <c r="D18" s="10"/>
      <c r="E18" s="68" t="str">
        <f ca="1">_xlfn.CONCAT("DB ", E122)</f>
        <v>DB 7Ch</v>
      </c>
      <c r="F18" s="77" t="s">
        <v>199</v>
      </c>
    </row>
    <row r="19" spans="1:6" ht="17.100000000000001" customHeight="1" thickBot="1" x14ac:dyDescent="0.3">
      <c r="A19" s="7"/>
      <c r="B19" s="99"/>
      <c r="C19" s="57" t="str">
        <f ca="1">_xlfn.CONCAT("  var4 ", E19)</f>
        <v xml:space="preserve">  var4 DW 3E82h</v>
      </c>
      <c r="D19" s="10"/>
      <c r="E19" s="68" t="str">
        <f ca="1">_xlfn.CONCAT("DW ", E128)</f>
        <v>DW 3E82h</v>
      </c>
      <c r="F19" s="78" t="s">
        <v>200</v>
      </c>
    </row>
    <row r="20" spans="1:6" ht="17.100000000000001" customHeight="1" thickBot="1" x14ac:dyDescent="0.3">
      <c r="A20" s="7"/>
      <c r="B20" s="99"/>
      <c r="C20" s="57" t="str">
        <f ca="1">_xlfn.CONCAT("  var5 ", E20)</f>
        <v xml:space="preserve">  var5 DW 30E8h</v>
      </c>
      <c r="D20" s="10"/>
      <c r="E20" s="68" t="str">
        <f ca="1">_xlfn.CONCAT("DW ", E127)</f>
        <v>DW 30E8h</v>
      </c>
      <c r="F20" s="67" t="s">
        <v>201</v>
      </c>
    </row>
    <row r="21" spans="1:6" ht="17.100000000000001" customHeight="1" thickBot="1" x14ac:dyDescent="0.3">
      <c r="A21" s="7"/>
      <c r="B21" s="99"/>
      <c r="C21" s="57" t="str">
        <f ca="1">_xlfn.CONCAT("  var6 ", E21)</f>
        <v xml:space="preserve">  var6 DD 686E22ACh</v>
      </c>
      <c r="D21" s="10"/>
      <c r="E21" s="68" t="str">
        <f ca="1">_xlfn.CONCAT("DD ", E134)</f>
        <v>DD 686E22ACh</v>
      </c>
      <c r="F21" s="67"/>
    </row>
    <row r="22" spans="1:6" ht="17.100000000000001" customHeight="1" thickBot="1" x14ac:dyDescent="0.3">
      <c r="A22" s="7"/>
      <c r="B22" s="99"/>
      <c r="C22" s="57" t="s">
        <v>268</v>
      </c>
      <c r="D22" s="10"/>
    </row>
    <row r="23" spans="1:6" ht="17.100000000000001" customHeight="1" thickBot="1" x14ac:dyDescent="0.3">
      <c r="A23" s="7"/>
      <c r="B23" s="99"/>
      <c r="C23" s="57" t="s">
        <v>263</v>
      </c>
      <c r="D23" s="10"/>
      <c r="F23" s="68">
        <v>4</v>
      </c>
    </row>
    <row r="24" spans="1:6" ht="17.100000000000001" customHeight="1" thickBot="1" x14ac:dyDescent="0.3">
      <c r="A24" s="7"/>
      <c r="B24" s="99"/>
      <c r="C24" s="57"/>
      <c r="D24" s="10"/>
      <c r="F24" s="68">
        <v>3</v>
      </c>
    </row>
    <row r="25" spans="1:6" ht="17.100000000000001" customHeight="1" thickBot="1" x14ac:dyDescent="0.3">
      <c r="A25" s="7"/>
      <c r="B25" s="99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99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99"/>
      <c r="C27" s="57" t="str">
        <f ca="1">_xlfn.CONCAT("; daca nr1 &gt; nr2 =&gt; AL =  ", E27)</f>
        <v>; daca nr1 &gt; nr2 =&gt; AL =  '&gt;' (3Eh)</v>
      </c>
      <c r="D27" s="10"/>
      <c r="E27" s="73" t="str" cm="1">
        <f t="array" aca="1" ref="E27" ca="1">_xlfn.IFS(C190=1, C175, C190=2, C176, C190 = 3, C177)</f>
        <v>'&gt;' (3Eh)</v>
      </c>
      <c r="F27" s="68">
        <v>5</v>
      </c>
    </row>
    <row r="28" spans="1:6" ht="17.100000000000001" customHeight="1" thickBot="1" x14ac:dyDescent="0.3">
      <c r="A28" s="7"/>
      <c r="B28" s="99"/>
      <c r="C28" s="57" t="str">
        <f ca="1">_xlfn.CONCAT("; daca nr1 = nr2 =&gt; AL =  ", E28)</f>
        <v>; daca nr1 = nr2 =&gt; AL =  '=' (3Dh)</v>
      </c>
      <c r="D28" s="10"/>
      <c r="E28" s="73" t="str" cm="1">
        <f t="array" aca="1" ref="E28" ca="1">_xlfn.IFS($C$190=1, C180, $C$190=2, C181, $C$190=3, C181 )</f>
        <v>'=' (3Dh)</v>
      </c>
    </row>
    <row r="29" spans="1:6" ht="17.100000000000001" customHeight="1" thickBot="1" x14ac:dyDescent="0.3">
      <c r="A29" s="7"/>
      <c r="B29" s="99"/>
      <c r="C29" s="57" t="str">
        <f ca="1">_xlfn.CONCAT("; daca nr1 &lt; nr2 =&gt; AL =  ", E29)</f>
        <v>; daca nr1 &lt; nr2 =&gt; AL =  '&lt;' (3Ch)</v>
      </c>
      <c r="D29" s="10"/>
      <c r="E29" s="73" t="str" cm="1">
        <f t="array" aca="1" ref="E29" ca="1">_xlfn.IFS($C$190=1, C185, $C$190=2, C186, C190 = 3, C187)</f>
        <v>'&lt;' (3Ch)</v>
      </c>
    </row>
    <row r="30" spans="1:6" ht="17.100000000000001" customHeight="1" thickBot="1" x14ac:dyDescent="0.3">
      <c r="A30" s="7"/>
      <c r="B30" s="99"/>
      <c r="C30" s="57" t="str">
        <f ca="1">_xlfn.CONCAT("comparaNumere PROC ", C171)</f>
        <v>comparaNumere PROC NEAR</v>
      </c>
      <c r="D30" s="10"/>
    </row>
    <row r="31" spans="1:6" ht="17.100000000000001" customHeight="1" thickBot="1" x14ac:dyDescent="0.3">
      <c r="A31" s="7"/>
      <c r="B31" s="99"/>
      <c r="C31" s="57" t="s">
        <v>237</v>
      </c>
      <c r="D31" s="10"/>
    </row>
    <row r="32" spans="1:6" ht="17.100000000000001" customHeight="1" thickBot="1" x14ac:dyDescent="0.3">
      <c r="A32" s="7"/>
      <c r="B32" s="99"/>
      <c r="C32" s="57" t="s">
        <v>245</v>
      </c>
      <c r="D32" s="10"/>
    </row>
    <row r="33" spans="1:5" ht="17.100000000000001" customHeight="1" thickBot="1" x14ac:dyDescent="0.3">
      <c r="A33" s="7"/>
      <c r="B33" s="99"/>
      <c r="C33" s="57" t="s">
        <v>168</v>
      </c>
      <c r="D33" s="10"/>
    </row>
    <row r="34" spans="1:5" ht="17.100000000000001" customHeight="1" thickBot="1" x14ac:dyDescent="0.3">
      <c r="A34" s="7"/>
      <c r="B34" s="99"/>
      <c r="C34" s="57" t="s">
        <v>159</v>
      </c>
      <c r="D34" s="10"/>
    </row>
    <row r="35" spans="1:5" ht="17.100000000000001" customHeight="1" thickBot="1" x14ac:dyDescent="0.3">
      <c r="A35" s="7"/>
      <c r="B35" s="99"/>
      <c r="C35" s="57" t="s">
        <v>246</v>
      </c>
      <c r="D35" s="10"/>
      <c r="E35" s="57"/>
    </row>
    <row r="36" spans="1:5" ht="17.100000000000001" customHeight="1" thickBot="1" x14ac:dyDescent="0.3">
      <c r="A36" s="7"/>
      <c r="B36" s="99"/>
      <c r="C36" s="57" t="s">
        <v>247</v>
      </c>
      <c r="D36" s="10"/>
      <c r="E36" s="57" t="s">
        <v>174</v>
      </c>
    </row>
    <row r="37" spans="1:5" ht="17.100000000000001" customHeight="1" thickBot="1" x14ac:dyDescent="0.3">
      <c r="A37" s="7"/>
      <c r="B37" s="99"/>
      <c r="C37" s="57" t="s">
        <v>248</v>
      </c>
      <c r="D37" s="10"/>
    </row>
    <row r="38" spans="1:5" ht="17.100000000000001" customHeight="1" thickBot="1" x14ac:dyDescent="0.3">
      <c r="A38" s="7"/>
      <c r="B38" s="99"/>
      <c r="C38" s="57" t="s">
        <v>249</v>
      </c>
      <c r="D38" s="10"/>
    </row>
    <row r="39" spans="1:5" ht="17.100000000000001" customHeight="1" thickBot="1" x14ac:dyDescent="0.3">
      <c r="A39" s="7"/>
      <c r="B39" s="99"/>
      <c r="C39" s="57" t="str">
        <f ca="1">_xlfn.CONCAT("  MOV AL, ", _xlfn.IFS( C190 = 1, 0, C190 = 2, "'='"), " ; if eq =&gt; AL = 0")</f>
        <v xml:space="preserve">  MOV AL, '=' ; if eq =&gt; AL = 0</v>
      </c>
      <c r="D39" s="10"/>
    </row>
    <row r="40" spans="1:5" ht="17.100000000000001" customHeight="1" thickBot="1" x14ac:dyDescent="0.3">
      <c r="A40" s="7"/>
      <c r="B40" s="99"/>
      <c r="C40" s="57" t="s">
        <v>250</v>
      </c>
      <c r="D40" s="10"/>
    </row>
    <row r="41" spans="1:5" ht="17.100000000000001" customHeight="1" thickBot="1" x14ac:dyDescent="0.3">
      <c r="A41" s="7"/>
      <c r="B41" s="99"/>
      <c r="C41" s="57" t="s">
        <v>124</v>
      </c>
      <c r="D41" s="10"/>
    </row>
    <row r="42" spans="1:5" ht="17.100000000000001" customHeight="1" thickBot="1" x14ac:dyDescent="0.3">
      <c r="A42" s="7"/>
      <c r="B42" s="99"/>
      <c r="C42" s="57" t="str">
        <f ca="1">_xlfn.CONCAT("  MOV AL, ",_xlfn.IFS( C190 = 1, 1, C190 = 2, "'&gt;'"))</f>
        <v xml:space="preserve">  MOV AL, '&gt;'</v>
      </c>
      <c r="D42" s="10"/>
    </row>
    <row r="43" spans="1:5" ht="17.100000000000001" customHeight="1" thickBot="1" x14ac:dyDescent="0.3">
      <c r="A43" s="7"/>
      <c r="B43" s="99"/>
      <c r="C43" s="57" t="s">
        <v>250</v>
      </c>
      <c r="D43" s="10"/>
    </row>
    <row r="44" spans="1:5" ht="17.100000000000001" customHeight="1" thickBot="1" x14ac:dyDescent="0.3">
      <c r="A44" s="7"/>
      <c r="B44" s="99"/>
      <c r="C44" s="57" t="s">
        <v>126</v>
      </c>
      <c r="D44" s="10"/>
    </row>
    <row r="45" spans="1:5" ht="17.100000000000001" customHeight="1" thickBot="1" x14ac:dyDescent="0.3">
      <c r="A45" s="7"/>
      <c r="B45" s="99"/>
      <c r="C45" s="57" t="str">
        <f ca="1">_xlfn.CONCAT("  MOV AL, ", _xlfn.IFS( C190 = 1, -1, C190 = 2, "'&lt;'"))</f>
        <v xml:space="preserve">  MOV AL, '&lt;'</v>
      </c>
      <c r="D45" s="10"/>
    </row>
    <row r="46" spans="1:5" ht="17.100000000000001" customHeight="1" thickBot="1" x14ac:dyDescent="0.3">
      <c r="A46" s="7"/>
      <c r="B46" s="99"/>
      <c r="C46" s="57" t="s">
        <v>250</v>
      </c>
      <c r="D46" s="10"/>
    </row>
    <row r="47" spans="1:5" ht="17.100000000000001" customHeight="1" thickBot="1" x14ac:dyDescent="0.3">
      <c r="A47" s="7"/>
      <c r="B47" s="99"/>
      <c r="C47" s="57" t="s">
        <v>128</v>
      </c>
      <c r="D47" s="10"/>
    </row>
    <row r="48" spans="1:5" ht="17.100000000000001" customHeight="1" thickBot="1" x14ac:dyDescent="0.3">
      <c r="A48" s="7"/>
      <c r="B48" s="99"/>
      <c r="C48" s="57" t="s">
        <v>169</v>
      </c>
      <c r="D48" s="10"/>
    </row>
    <row r="49" spans="1:4" ht="17.100000000000001" customHeight="1" thickBot="1" x14ac:dyDescent="0.3">
      <c r="A49" s="7"/>
      <c r="B49" s="99"/>
      <c r="C49" s="57" t="s">
        <v>251</v>
      </c>
      <c r="D49" s="10"/>
    </row>
    <row r="50" spans="1:4" ht="17.100000000000001" customHeight="1" thickBot="1" x14ac:dyDescent="0.3">
      <c r="A50" s="7"/>
      <c r="B50" s="99"/>
      <c r="C50" s="57" t="s">
        <v>163</v>
      </c>
      <c r="D50" s="10"/>
    </row>
    <row r="51" spans="1:4" ht="17.100000000000001" customHeight="1" thickBot="1" x14ac:dyDescent="0.3">
      <c r="A51" s="7"/>
      <c r="B51" s="99"/>
      <c r="C51" s="57" t="s">
        <v>285</v>
      </c>
      <c r="D51" s="10"/>
    </row>
    <row r="52" spans="1:4" ht="17.100000000000001" customHeight="1" thickBot="1" x14ac:dyDescent="0.3">
      <c r="A52" s="7"/>
      <c r="B52" s="99"/>
      <c r="C52" s="57"/>
      <c r="D52" s="10"/>
    </row>
    <row r="53" spans="1:4" ht="17.100000000000001" customHeight="1" thickBot="1" x14ac:dyDescent="0.3">
      <c r="A53" s="7"/>
      <c r="B53" s="99"/>
      <c r="C53" s="57" t="str">
        <f ca="1">_xlfn.CONCAT("nuFaceNimic PROC ", C172)</f>
        <v>nuFaceNimic PROC NEAR</v>
      </c>
      <c r="D53" s="10"/>
    </row>
    <row r="54" spans="1:4" ht="17.100000000000001" customHeight="1" thickBot="1" x14ac:dyDescent="0.3">
      <c r="A54" s="7"/>
      <c r="B54" s="99"/>
      <c r="C54" s="57" t="s">
        <v>161</v>
      </c>
      <c r="D54" s="10"/>
    </row>
    <row r="55" spans="1:4" ht="17.100000000000001" customHeight="1" thickBot="1" x14ac:dyDescent="0.3">
      <c r="A55" s="7"/>
      <c r="B55" s="99"/>
      <c r="C55" s="57" t="s">
        <v>163</v>
      </c>
      <c r="D55" s="10"/>
    </row>
    <row r="56" spans="1:4" ht="17.100000000000001" customHeight="1" thickBot="1" x14ac:dyDescent="0.3">
      <c r="A56" s="7"/>
      <c r="B56" s="99"/>
      <c r="C56" s="57" t="s">
        <v>269</v>
      </c>
      <c r="D56" s="10"/>
    </row>
    <row r="57" spans="1:4" ht="17.100000000000001" customHeight="1" thickBot="1" x14ac:dyDescent="0.3">
      <c r="A57" s="7"/>
      <c r="B57" s="99"/>
      <c r="C57" s="57"/>
      <c r="D57" s="10"/>
    </row>
    <row r="58" spans="1:4" ht="17.100000000000001" customHeight="1" thickBot="1" x14ac:dyDescent="0.3">
      <c r="A58" s="7"/>
      <c r="B58" s="99"/>
      <c r="C58" s="57" t="s">
        <v>22</v>
      </c>
      <c r="D58" s="10"/>
    </row>
    <row r="59" spans="1:4" ht="17.100000000000001" customHeight="1" thickBot="1" x14ac:dyDescent="0.3">
      <c r="A59" s="7"/>
      <c r="B59" s="99"/>
      <c r="C59" s="57" t="s">
        <v>51</v>
      </c>
      <c r="D59" s="10"/>
    </row>
    <row r="60" spans="1:4" ht="17.100000000000001" customHeight="1" thickBot="1" x14ac:dyDescent="0.3">
      <c r="A60" s="7"/>
      <c r="B60" s="99"/>
      <c r="C60" s="57" t="s">
        <v>265</v>
      </c>
      <c r="D60" s="10"/>
    </row>
    <row r="61" spans="1:4" ht="17.100000000000001" customHeight="1" thickBot="1" x14ac:dyDescent="0.3">
      <c r="A61" s="7"/>
      <c r="B61" s="99"/>
      <c r="C61" s="57" t="s">
        <v>50</v>
      </c>
      <c r="D61" s="10"/>
    </row>
    <row r="62" spans="1:4" ht="17.100000000000001" customHeight="1" thickBot="1" x14ac:dyDescent="0.3">
      <c r="A62" s="7"/>
      <c r="B62" s="99"/>
      <c r="C62" s="57" t="s">
        <v>284</v>
      </c>
      <c r="D62" s="10"/>
    </row>
    <row r="63" spans="1:4" ht="17.100000000000001" customHeight="1" thickBot="1" x14ac:dyDescent="0.3">
      <c r="A63" s="7"/>
      <c r="B63" s="100"/>
      <c r="C63" s="57" t="s">
        <v>52</v>
      </c>
      <c r="D63" s="10"/>
    </row>
    <row r="64" spans="1:4" ht="17.100000000000001" customHeight="1" thickBot="1" x14ac:dyDescent="0.3">
      <c r="A64" s="7"/>
      <c r="B64" s="85">
        <v>1</v>
      </c>
      <c r="C64" s="57" t="s">
        <v>132</v>
      </c>
      <c r="D64" s="10"/>
    </row>
    <row r="65" spans="1:5" ht="17.100000000000001" customHeight="1" thickBot="1" x14ac:dyDescent="0.3">
      <c r="A65" s="7"/>
      <c r="B65" s="88">
        <v>2</v>
      </c>
      <c r="C65" s="57" t="str">
        <f ca="1">_xlfn.CONCAT("  MOV AX, ", E132)</f>
        <v xml:space="preserve">  MOV AX, 2209h</v>
      </c>
      <c r="D65" s="10"/>
      <c r="E65" s="86" t="s">
        <v>233</v>
      </c>
    </row>
    <row r="66" spans="1:5" ht="17.100000000000001" customHeight="1" thickBot="1" x14ac:dyDescent="0.3">
      <c r="A66" s="7"/>
      <c r="B66" s="88">
        <v>3</v>
      </c>
      <c r="C66" s="57" t="s">
        <v>71</v>
      </c>
      <c r="D66" s="10"/>
    </row>
    <row r="67" spans="1:5" ht="17.100000000000001" customHeight="1" thickBot="1" x14ac:dyDescent="0.3">
      <c r="A67" s="7"/>
      <c r="B67" s="88">
        <v>4</v>
      </c>
      <c r="C67" s="57" t="s">
        <v>72</v>
      </c>
      <c r="D67" s="10"/>
    </row>
    <row r="68" spans="1:5" ht="17.100000000000001" customHeight="1" thickBot="1" x14ac:dyDescent="0.3">
      <c r="A68" s="7"/>
      <c r="B68" s="88">
        <v>5</v>
      </c>
      <c r="C68" s="57" t="s">
        <v>72</v>
      </c>
      <c r="D68" s="10"/>
    </row>
    <row r="69" spans="1:5" ht="17.100000000000001" customHeight="1" thickBot="1" x14ac:dyDescent="0.3">
      <c r="A69" s="7"/>
      <c r="B69" s="88">
        <v>6</v>
      </c>
      <c r="C69" s="57" t="s">
        <v>73</v>
      </c>
      <c r="D69" s="10"/>
    </row>
    <row r="70" spans="1:5" ht="17.100000000000001" customHeight="1" thickBot="1" x14ac:dyDescent="0.3">
      <c r="A70" s="7"/>
      <c r="B70" s="88">
        <v>7</v>
      </c>
      <c r="C70" s="57" t="str">
        <f ca="1">_xlfn.CONCAT("  MOV DL, BYTE PTR var", RANDBETWEEN(1, 5) )</f>
        <v xml:space="preserve">  MOV DL, BYTE PTR var2</v>
      </c>
      <c r="D70" s="10"/>
    </row>
    <row r="71" spans="1:5" ht="17.100000000000001" customHeight="1" thickBot="1" x14ac:dyDescent="0.3">
      <c r="A71" s="7"/>
      <c r="B71" s="88">
        <v>8</v>
      </c>
      <c r="C71" s="57" t="str">
        <f ca="1">_xlfn.CONCAT( "  MOV DH, BYTE PTR var6 + ", RANDBETWEEN(1, 3) )</f>
        <v xml:space="preserve">  MOV DH, BYTE PTR var6 + 1</v>
      </c>
      <c r="D71" s="10"/>
    </row>
    <row r="72" spans="1:5" ht="17.100000000000001" customHeight="1" thickBot="1" x14ac:dyDescent="0.3">
      <c r="A72" s="7"/>
      <c r="B72" s="88">
        <v>9</v>
      </c>
      <c r="C72" s="57" t="s">
        <v>155</v>
      </c>
      <c r="D72" s="10"/>
    </row>
    <row r="73" spans="1:5" ht="17.100000000000001" customHeight="1" thickBot="1" x14ac:dyDescent="0.3">
      <c r="A73" s="7"/>
      <c r="B73" s="88">
        <v>10</v>
      </c>
      <c r="C73" s="57" t="s">
        <v>152</v>
      </c>
      <c r="D73" s="10"/>
    </row>
    <row r="74" spans="1:5" ht="17.100000000000001" customHeight="1" thickBot="1" x14ac:dyDescent="0.3">
      <c r="A74" s="7"/>
      <c r="B74" s="88">
        <v>11</v>
      </c>
      <c r="C74" s="57" t="str">
        <f ca="1">_xlfn.CONCAT( "  MOV CL, ", RANDBETWEEN(1, 3) )</f>
        <v xml:space="preserve">  MOV CL, 2</v>
      </c>
      <c r="D74" s="10"/>
    </row>
    <row r="75" spans="1:5" ht="17.100000000000001" customHeight="1" thickBot="1" x14ac:dyDescent="0.3">
      <c r="A75" s="7"/>
      <c r="B75" s="88">
        <v>12</v>
      </c>
      <c r="C75" s="57" t="str">
        <f ca="1">_xlfn.CONCAT("  ",C161," DX, CL")</f>
        <v xml:space="preserve">  ROR DX, CL</v>
      </c>
      <c r="D75" s="10"/>
    </row>
    <row r="76" spans="1:5" ht="17.100000000000001" customHeight="1" thickBot="1" x14ac:dyDescent="0.3">
      <c r="A76" s="7"/>
      <c r="B76" s="88">
        <v>13</v>
      </c>
      <c r="C76" s="57" t="s">
        <v>153</v>
      </c>
      <c r="D76" s="10"/>
    </row>
    <row r="77" spans="1:5" ht="17.100000000000001" customHeight="1" thickBot="1" x14ac:dyDescent="0.3">
      <c r="A77" s="7"/>
      <c r="B77" s="88">
        <v>14</v>
      </c>
      <c r="C77" s="57" t="s">
        <v>156</v>
      </c>
      <c r="D77" s="10"/>
    </row>
    <row r="78" spans="1:5" ht="17.100000000000001" customHeight="1" thickBot="1" x14ac:dyDescent="0.3">
      <c r="A78" s="7"/>
      <c r="B78" s="88">
        <v>15</v>
      </c>
      <c r="C78" s="57" t="s">
        <v>159</v>
      </c>
      <c r="D78" s="10"/>
    </row>
    <row r="79" spans="1:5" ht="17.100000000000001" customHeight="1" thickBot="1" x14ac:dyDescent="0.3">
      <c r="A79" s="7"/>
      <c r="B79" s="88">
        <v>16</v>
      </c>
      <c r="C79" s="57" t="s">
        <v>286</v>
      </c>
      <c r="D79" s="10"/>
    </row>
    <row r="80" spans="1:5" ht="17.100000000000001" customHeight="1" thickBot="1" x14ac:dyDescent="0.3">
      <c r="A80" s="7"/>
      <c r="B80" s="88">
        <v>17</v>
      </c>
      <c r="C80" s="57" t="s">
        <v>287</v>
      </c>
      <c r="D80" s="10"/>
    </row>
    <row r="81" spans="1:7" ht="17.100000000000001" customHeight="1" thickBot="1" x14ac:dyDescent="0.3">
      <c r="A81" s="7"/>
      <c r="B81" s="88">
        <v>18</v>
      </c>
      <c r="C81" s="57" t="str">
        <f ca="1">_xlfn.CONCAT("  CMP AL, ",_xlfn.IFS( C190 = 1, 0, C190 = 2, "'=' ; 3Dh"))</f>
        <v xml:space="preserve">  CMP AL, '=' ; 3Dh</v>
      </c>
      <c r="D81" s="10"/>
    </row>
    <row r="82" spans="1:7" ht="17.100000000000001" customHeight="1" thickBot="1" x14ac:dyDescent="0.3">
      <c r="A82" s="7"/>
      <c r="B82" s="88">
        <v>19</v>
      </c>
      <c r="C82" s="57" t="s">
        <v>254</v>
      </c>
      <c r="D82" s="10"/>
    </row>
    <row r="83" spans="1:7" ht="17.100000000000001" customHeight="1" thickBot="1" x14ac:dyDescent="0.3">
      <c r="A83" s="7"/>
      <c r="B83" s="88">
        <v>20</v>
      </c>
      <c r="C83" s="57" t="s">
        <v>255</v>
      </c>
      <c r="D83" s="10"/>
    </row>
    <row r="84" spans="1:7" ht="17.100000000000001" customHeight="1" thickBot="1" x14ac:dyDescent="0.3">
      <c r="A84" s="7"/>
      <c r="B84" s="88">
        <v>21</v>
      </c>
      <c r="C84" s="57" t="s">
        <v>257</v>
      </c>
      <c r="D84" s="10"/>
    </row>
    <row r="85" spans="1:7" ht="17.100000000000001" customHeight="1" thickBot="1" x14ac:dyDescent="0.3">
      <c r="A85" s="7"/>
      <c r="B85" s="88"/>
      <c r="C85" s="57" t="s">
        <v>143</v>
      </c>
      <c r="D85" s="10"/>
    </row>
    <row r="86" spans="1:7" ht="17.100000000000001" customHeight="1" thickBot="1" x14ac:dyDescent="0.3">
      <c r="A86" s="7"/>
      <c r="B86" s="88">
        <v>22</v>
      </c>
      <c r="C86" s="57" t="str">
        <f ca="1">_xlfn.CONCAT("  MOV BX, ", (RANDBETWEEN(0, 4) * 4) )</f>
        <v xml:space="preserve">  MOV BX, 16</v>
      </c>
      <c r="D86" s="10"/>
    </row>
    <row r="87" spans="1:7" ht="17.100000000000001" customHeight="1" thickBot="1" x14ac:dyDescent="0.3">
      <c r="A87" s="7"/>
      <c r="B87" s="88">
        <v>23</v>
      </c>
      <c r="C87" s="57" t="s">
        <v>142</v>
      </c>
      <c r="D87" s="10"/>
    </row>
    <row r="88" spans="1:7" ht="17.100000000000001" customHeight="1" thickBot="1" x14ac:dyDescent="0.3">
      <c r="A88" s="7"/>
      <c r="B88" s="88">
        <v>24</v>
      </c>
      <c r="C88" s="57" t="str">
        <f ca="1">IF(E88="  MOV CX, WORD PTR ES:[DI + 0]", "  MOV CX, WORD PTR ES:[DI]", E88)</f>
        <v xml:space="preserve">  MOV CX, WORD PTR ES:[DI + 2]</v>
      </c>
      <c r="D88" s="10"/>
      <c r="E88" s="62" t="str">
        <f ca="1">_xlfn.CONCAT("  MOV CX, WORD PTR ES:[DI + ", RANDBETWEEN(0, 3), "]")</f>
        <v xml:space="preserve">  MOV CX, WORD PTR ES:[DI + 2]</v>
      </c>
      <c r="F88" s="62"/>
      <c r="G88" s="62"/>
    </row>
    <row r="89" spans="1:7" ht="17.100000000000001" customHeight="1" thickBot="1" x14ac:dyDescent="0.3">
      <c r="A89" s="7"/>
      <c r="B89" s="88">
        <v>25</v>
      </c>
      <c r="C89" s="57" t="s">
        <v>256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88"/>
      <c r="C90" s="57" t="s">
        <v>144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88">
        <v>26</v>
      </c>
      <c r="C91" s="57" t="str">
        <f ca="1">_xlfn.CONCAT("  MOV BX, ", (RANDBETWEEN(0, 4) * 4) )</f>
        <v xml:space="preserve">  MOV BX, 0</v>
      </c>
      <c r="D91" s="10"/>
      <c r="E91" s="62"/>
      <c r="F91" s="62"/>
      <c r="G91" s="62"/>
    </row>
    <row r="92" spans="1:7" ht="17.100000000000001" customHeight="1" thickBot="1" x14ac:dyDescent="0.3">
      <c r="A92" s="7"/>
      <c r="B92" s="88">
        <v>27</v>
      </c>
      <c r="C92" s="57" t="s">
        <v>142</v>
      </c>
      <c r="D92" s="10"/>
      <c r="E92" s="62"/>
      <c r="F92" s="62"/>
      <c r="G92" s="62"/>
    </row>
    <row r="93" spans="1:7" ht="17.100000000000001" customHeight="1" thickBot="1" x14ac:dyDescent="0.3">
      <c r="A93" s="7"/>
      <c r="B93" s="88">
        <v>28</v>
      </c>
      <c r="C93" s="57" t="str">
        <f ca="1">IF(E93="  MOV CX, WORD PTR ES:[DI + 0]", "  MOV CX, WORD PTR ES:[DI]", E93)</f>
        <v xml:space="preserve">  MOV CX, WORD PTR ES:[DI]</v>
      </c>
      <c r="D93" s="10"/>
      <c r="E93" s="62" t="str">
        <f ca="1">_xlfn.CONCAT("  MOV CX, WORD PTR ES:[DI + ", RANDBETWEEN(0, 3), "]")</f>
        <v xml:space="preserve">  MOV CX, WORD PTR ES:[DI + 0]</v>
      </c>
      <c r="F93" s="62"/>
      <c r="G93" s="62"/>
    </row>
    <row r="94" spans="1:7" ht="17.100000000000001" customHeight="1" thickBot="1" x14ac:dyDescent="0.3">
      <c r="A94" s="9"/>
      <c r="B94" s="88"/>
      <c r="C94" s="57" t="s">
        <v>167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88">
        <v>29</v>
      </c>
      <c r="C95" s="57" t="s">
        <v>156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88">
        <v>30</v>
      </c>
      <c r="C96" s="57" t="s">
        <v>157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88">
        <v>31</v>
      </c>
      <c r="C97" s="57" t="s">
        <v>168</v>
      </c>
      <c r="D97" s="10"/>
      <c r="E97" s="87" t="s">
        <v>235</v>
      </c>
      <c r="F97" s="63"/>
      <c r="G97" s="62"/>
    </row>
    <row r="98" spans="1:11" ht="17.100000000000001" customHeight="1" thickBot="1" x14ac:dyDescent="0.3">
      <c r="A98" s="9"/>
      <c r="B98" s="88">
        <v>32</v>
      </c>
      <c r="C98" s="57" t="s">
        <v>158</v>
      </c>
      <c r="D98" s="10"/>
      <c r="E98" s="62"/>
      <c r="F98" s="62"/>
      <c r="G98" s="62"/>
    </row>
    <row r="99" spans="1:11" ht="17.100000000000001" customHeight="1" thickBot="1" x14ac:dyDescent="0.3">
      <c r="A99" s="9"/>
      <c r="B99" s="88">
        <v>33</v>
      </c>
      <c r="C99" s="57" t="s">
        <v>159</v>
      </c>
      <c r="D99" s="10"/>
      <c r="E99" s="64" t="s">
        <v>182</v>
      </c>
      <c r="F99" s="64" t="s">
        <v>183</v>
      </c>
      <c r="G99" s="62"/>
    </row>
    <row r="100" spans="1:11" ht="17.100000000000001" customHeight="1" thickBot="1" x14ac:dyDescent="0.3">
      <c r="A100" s="9"/>
      <c r="B100" s="88">
        <v>34</v>
      </c>
      <c r="C100" s="57" t="s">
        <v>180</v>
      </c>
      <c r="D100" s="10"/>
      <c r="E100" s="64"/>
      <c r="F100" s="64"/>
      <c r="G100" s="62"/>
    </row>
    <row r="101" spans="1:11" ht="17.100000000000001" customHeight="1" thickBot="1" x14ac:dyDescent="0.3">
      <c r="A101" s="9"/>
      <c r="B101" s="88">
        <v>35</v>
      </c>
      <c r="C101" s="57" t="str">
        <f ca="1">_xlfn.CONCAT(E101, E124)</f>
        <v xml:space="preserve">  MOV BYTE PTR [BP + 1], 4Ah</v>
      </c>
      <c r="D101" s="10"/>
      <c r="E101" s="64" t="str">
        <f>_xlfn.CONCAT("  MOV BYTE PTR [BP + ", G101,"], ")</f>
        <v xml:space="preserve">  MOV BYTE PTR [BP + 1], </v>
      </c>
      <c r="F101" s="64"/>
      <c r="G101" s="62">
        <v>1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88">
        <v>36</v>
      </c>
      <c r="C102" s="57" t="str">
        <f ca="1">_xlfn.CONCAT("  MOV WORD PTR [BP - ", ABS(G102),"], ", E129)</f>
        <v xml:space="preserve">  MOV WORD PTR [BP - 5], 1E16h</v>
      </c>
      <c r="D102" s="10"/>
      <c r="E102" s="64" t="str">
        <f ca="1">_xlfn.CONCAT("  MOV WORD PTR [BP - ", G102,"], ")</f>
        <v xml:space="preserve">  MOV WORD PTR [BP - -5], </v>
      </c>
      <c r="F102" s="64" t="str" cm="1">
        <f t="array" aca="1" ref="F102" ca="1">_xlfn.IFS( G102 &lt; 0, _xlfn.CONCAT( "  MOV WORD PTR [BP - ", ABS(G102), "], " ), G102 = 0, "  MOV WORD PTR [BP], ", G102 &gt; 0, _xlfn.CONCAT( "  MOV WORD PTR [BP + ", G102, "], " ) )</f>
        <v xml:space="preserve">  MOV WORD PTR [BP - 5], </v>
      </c>
      <c r="G102" s="63" cm="1">
        <f t="array" aca="1" ref="G102" ca="1">randNrBetweenWithException(-5, -1, -2, -4)</f>
        <v>-5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88">
        <v>37</v>
      </c>
      <c r="C103" s="57" t="str">
        <f ca="1">_xlfn.CONCAT(E103, E130)</f>
        <v xml:space="preserve">  MOV WORD PTR [BP], 0B320h</v>
      </c>
      <c r="D103" s="10"/>
      <c r="E103" s="64" t="str">
        <f ca="1">IF(F103=E102, REPLACE(F103, 22, 1, "2"), F103)</f>
        <v xml:space="preserve">  MOV WORD PTR [BP], </v>
      </c>
      <c r="F103" s="64" t="str" cm="1">
        <f t="array" aca="1" ref="F103" ca="1">_xlfn.IFS( G103 &lt; 0, _xlfn.CONCAT( "  MOV WORD PTR [BP - ", ABS(G103), "], " ), G103 = 0, "  MOV WORD PTR [BP], ", G103 &gt; 0, _xlfn.CONCAT( "  MOV WORD PTR [BP + ", G103, "], " ) )</f>
        <v xml:space="preserve">  MOV WORD PTR [BP], </v>
      </c>
      <c r="G103" s="63" cm="1">
        <f t="array" aca="1" ref="G103" ca="1">randNrBetweenWithException(-6, 2, G101, G102)</f>
        <v>0</v>
      </c>
      <c r="H103" s="62"/>
      <c r="I103" s="62"/>
      <c r="J103" s="62"/>
      <c r="K103" s="62"/>
    </row>
    <row r="104" spans="1:11" ht="17.100000000000001" customHeight="1" thickBot="1" x14ac:dyDescent="0.3">
      <c r="A104" s="9"/>
      <c r="B104" s="88">
        <v>38</v>
      </c>
      <c r="C104" s="57" t="str">
        <f ca="1">_xlfn.CONCAT(F104, E125)</f>
        <v xml:space="preserve">  MOV BYTE PTR [BP - 2], 0DFh</v>
      </c>
      <c r="D104" s="10"/>
      <c r="E104" s="64" t="str">
        <f ca="1">IF(F104 = E101, REPLACE(F104, 22, 1, "2"), F104)</f>
        <v xml:space="preserve">  MOV BYTE PTR [BP - 2], </v>
      </c>
      <c r="F104" s="64" t="str" cm="1">
        <f t="array" aca="1" ref="F104" ca="1">_xlfn.IFS( G104 &lt; 0, _xlfn.CONCAT( "  MOV BYTE PTR [BP - ", ABS(G104), "], " ), G104 = 0, "  MOV BYTE PTR [BP], ", G104 &gt; 0, _xlfn.CONCAT( "  MOV BYTE PTR [BP + ", G104, "], " ) )</f>
        <v xml:space="preserve">  MOV BYTE PTR [BP - 2], </v>
      </c>
      <c r="G104" s="62" cm="1">
        <f t="array" aca="1" ref="G104" ca="1">randNrBetweenWithException(-6, 3, G101, G102, G103)</f>
        <v>-2</v>
      </c>
      <c r="H104" s="62"/>
      <c r="I104" s="62"/>
      <c r="J104" s="62"/>
      <c r="K104" s="62"/>
    </row>
    <row r="105" spans="1:11" ht="17.100000000000001" customHeight="1" thickBot="1" x14ac:dyDescent="0.3">
      <c r="A105" s="9"/>
      <c r="B105" s="88">
        <v>39</v>
      </c>
      <c r="C105" s="57" t="s">
        <v>258</v>
      </c>
      <c r="D105" s="10"/>
      <c r="E105" s="62"/>
      <c r="F105" s="62"/>
      <c r="G105" s="62"/>
    </row>
    <row r="106" spans="1:11" ht="17.100000000000001" customHeight="1" thickBot="1" x14ac:dyDescent="0.3">
      <c r="A106" s="9"/>
      <c r="B106" s="88">
        <v>40</v>
      </c>
      <c r="C106" s="57" t="s">
        <v>181</v>
      </c>
      <c r="D106" s="10"/>
    </row>
    <row r="107" spans="1:11" ht="17.100000000000001" customHeight="1" thickBot="1" x14ac:dyDescent="0.3">
      <c r="A107" s="9"/>
      <c r="B107" s="88">
        <v>41</v>
      </c>
      <c r="C107" s="57" t="s">
        <v>169</v>
      </c>
      <c r="D107" s="10"/>
    </row>
    <row r="108" spans="1:11" ht="17.100000000000001" customHeight="1" thickBot="1" x14ac:dyDescent="0.3">
      <c r="A108" s="9"/>
      <c r="B108" s="88">
        <v>42</v>
      </c>
      <c r="C108" s="57" t="s">
        <v>170</v>
      </c>
      <c r="D108" s="10"/>
    </row>
    <row r="109" spans="1:11" ht="17.100000000000001" customHeight="1" thickBot="1" x14ac:dyDescent="0.3">
      <c r="A109" s="9"/>
      <c r="B109" s="88">
        <v>43</v>
      </c>
      <c r="C109" s="57" t="s">
        <v>36</v>
      </c>
      <c r="D109" s="10"/>
    </row>
    <row r="110" spans="1:11" ht="17.100000000000001" customHeight="1" thickBot="1" x14ac:dyDescent="0.3">
      <c r="A110" s="9"/>
      <c r="B110" s="88">
        <v>44</v>
      </c>
      <c r="C110" s="57" t="s">
        <v>35</v>
      </c>
      <c r="D110" s="10"/>
    </row>
    <row r="111" spans="1:11" ht="17.100000000000001" customHeight="1" thickBot="1" x14ac:dyDescent="0.3">
      <c r="A111" s="9"/>
      <c r="B111" s="101"/>
      <c r="C111" s="57" t="s">
        <v>46</v>
      </c>
      <c r="D111" s="10"/>
    </row>
    <row r="112" spans="1:11" ht="16.5" thickBot="1" x14ac:dyDescent="0.3">
      <c r="A112" s="9"/>
      <c r="B112" s="102"/>
      <c r="C112" s="57" t="s">
        <v>259</v>
      </c>
      <c r="D112" s="10"/>
    </row>
    <row r="113" spans="1:5" ht="16.5" thickBot="1" x14ac:dyDescent="0.3">
      <c r="A113" s="7"/>
      <c r="B113" s="102"/>
      <c r="C113" s="57" t="s">
        <v>260</v>
      </c>
      <c r="D113" s="10"/>
    </row>
    <row r="114" spans="1:5" ht="16.5" thickBot="1" x14ac:dyDescent="0.3">
      <c r="A114" s="1"/>
      <c r="B114" s="103"/>
      <c r="C114" s="57" t="s">
        <v>264</v>
      </c>
      <c r="D114" s="1"/>
    </row>
    <row r="115" spans="1:5" ht="9.9499999999999993" customHeight="1" x14ac:dyDescent="0.25">
      <c r="A115" s="1"/>
      <c r="B115" s="38"/>
      <c r="C115" s="6"/>
      <c r="D115" s="1"/>
    </row>
    <row r="116" spans="1:5" x14ac:dyDescent="0.25">
      <c r="C116" s="1"/>
    </row>
    <row r="117" spans="1:5" x14ac:dyDescent="0.25">
      <c r="C117" s="1"/>
    </row>
    <row r="118" spans="1:5" x14ac:dyDescent="0.25">
      <c r="C118" t="s">
        <v>62</v>
      </c>
      <c r="E118" t="s">
        <v>63</v>
      </c>
    </row>
    <row r="119" spans="1:5" x14ac:dyDescent="0.25">
      <c r="C119" s="39" t="s">
        <v>58</v>
      </c>
    </row>
    <row r="120" spans="1:5" x14ac:dyDescent="0.25">
      <c r="C120">
        <f ca="1">RANDBETWEEN(0,255)</f>
        <v>74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4Ah</v>
      </c>
    </row>
    <row r="121" spans="1:5" x14ac:dyDescent="0.25">
      <c r="C121" s="39" t="s">
        <v>103</v>
      </c>
    </row>
    <row r="122" spans="1:5" x14ac:dyDescent="0.25">
      <c r="C122">
        <f ca="1">RANDBETWEEN(1,255)</f>
        <v>124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7Ch</v>
      </c>
    </row>
    <row r="123" spans="1:5" x14ac:dyDescent="0.25">
      <c r="C123">
        <f ca="1">RANDBETWEEN(1,255)</f>
        <v>209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0D1h</v>
      </c>
    </row>
    <row r="124" spans="1:5" x14ac:dyDescent="0.25">
      <c r="C124">
        <f ca="1">RANDBETWEEN(1,255)</f>
        <v>74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4Ah</v>
      </c>
    </row>
    <row r="125" spans="1:5" x14ac:dyDescent="0.25">
      <c r="C125">
        <f ca="1">RANDBETWEEN(1,255)</f>
        <v>223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0DFh</v>
      </c>
    </row>
    <row r="126" spans="1:5" x14ac:dyDescent="0.25">
      <c r="C126" s="39" t="s">
        <v>60</v>
      </c>
    </row>
    <row r="127" spans="1:5" x14ac:dyDescent="0.25">
      <c r="C127">
        <f ca="1">RANDBETWEEN(256, 65535)</f>
        <v>12520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30E8h</v>
      </c>
    </row>
    <row r="128" spans="1:5" x14ac:dyDescent="0.25">
      <c r="C128">
        <f ca="1">RANDBETWEEN(256, 65535)</f>
        <v>16002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3E82h</v>
      </c>
    </row>
    <row r="129" spans="3:5" x14ac:dyDescent="0.25">
      <c r="C129">
        <f ca="1">RANDBETWEEN(256, 65535)</f>
        <v>7702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1E16h</v>
      </c>
    </row>
    <row r="130" spans="3:5" x14ac:dyDescent="0.25">
      <c r="C130">
        <f ca="1">RANDBETWEEN(256, 65535)</f>
        <v>45856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0B320h</v>
      </c>
    </row>
    <row r="131" spans="3:5" x14ac:dyDescent="0.25">
      <c r="C131" s="39" t="s">
        <v>232</v>
      </c>
    </row>
    <row r="132" spans="3:5" x14ac:dyDescent="0.25">
      <c r="C132">
        <f ca="1">RANDBETWEEN(HEX2DEC("1000"), 65535)</f>
        <v>8713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2209h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1752048300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686E22ACh</v>
      </c>
    </row>
    <row r="135" spans="3:5" x14ac:dyDescent="0.25">
      <c r="C135">
        <f ca="1">RANDBETWEEN(65536, 4294967295)</f>
        <v>2653535241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9E29BC09h</v>
      </c>
    </row>
    <row r="136" spans="3:5" x14ac:dyDescent="0.25">
      <c r="C136" t="s">
        <v>64</v>
      </c>
    </row>
    <row r="137" spans="3:5" x14ac:dyDescent="0.25">
      <c r="C137">
        <f ca="1">EVEN(RANDBETWEEN(100, 2048))</f>
        <v>1696</v>
      </c>
      <c r="E137" t="str">
        <f ca="1">_xlfn.CONCAT( _xlfn.IFS( C137 &lt; HEX2DEC("A"), DEC2HEX(C137, 1), C137 &lt; HEX2DEC("A0"), DEC2HEX(C137, 2), C137 &lt; HEX2DEC("A00"), DEC2HEX(C137, 3), C137 &lt; HEX2DEC("A000"), DEC2HEX(C137, 4), C137 &lt; HEX2DEC("A0000"), DEC2HEX(C137, 5), C137 &lt; HEX2DEC("A00000"), DEC2HEX(C137, 6), C137 &lt; HEX2DEC("A000000"), DEC2HEX(C137, 7), C137 &lt; HEX2DEC("A0000000"), DEC2HEX(C137, 8), TRUE, DEC2HEX(C137, 9) ), "h" )</f>
        <v>6A0h</v>
      </c>
    </row>
    <row r="138" spans="3:5" x14ac:dyDescent="0.25">
      <c r="C138" t="s">
        <v>65</v>
      </c>
    </row>
    <row r="139" spans="3:5" x14ac:dyDescent="0.25">
      <c r="C139">
        <f ca="1">ROUNDDOWN(C137/100, 1) * 100</f>
        <v>1689.9999999999998</v>
      </c>
    </row>
    <row r="141" spans="3:5" x14ac:dyDescent="0.25">
      <c r="C141" t="s">
        <v>88</v>
      </c>
    </row>
    <row r="142" spans="3:5" x14ac:dyDescent="0.25">
      <c r="C142" s="53" t="str">
        <f>_xlfn.CONCAT( (HEX2BIN("AA")), (HEX2BIN("AA")), "b" )</f>
        <v>1010101010101010b</v>
      </c>
    </row>
    <row r="143" spans="3:5" x14ac:dyDescent="0.25">
      <c r="C143" t="str">
        <f>_xlfn.CONCAT( (HEX2BIN("FF")), (HEX2BIN("AA")), "b" )</f>
        <v>1111111110101010b</v>
      </c>
    </row>
    <row r="144" spans="3:5" x14ac:dyDescent="0.25">
      <c r="C144" t="str">
        <f>_xlfn.CONCAT( (HEX2BIN("CC")), (HEX2BIN("FF")), "b" )</f>
        <v>1100110011111111b</v>
      </c>
    </row>
    <row r="145" spans="3:3" x14ac:dyDescent="0.25">
      <c r="C145" t="str">
        <f>_xlfn.CONCAT( (HEX2BIN("55", 8)), (HEX2BIN("55", 8)), "b" )</f>
        <v>0101010101010101b</v>
      </c>
    </row>
    <row r="146" spans="3:3" x14ac:dyDescent="0.25">
      <c r="C146" t="str">
        <f>_xlfn.CONCAT( (HEX2BIN("66", 8)), (HEX2BIN("66", 8)), "b" )</f>
        <v>0110011001100110b</v>
      </c>
    </row>
    <row r="147" spans="3:3" x14ac:dyDescent="0.25">
      <c r="C147" t="str">
        <f>_xlfn.CONCAT( (HEX2BIN("99", 8)), (HEX2BIN("99", 8)), "b" )</f>
        <v>1001100110011001b</v>
      </c>
    </row>
    <row r="148" spans="3:3" x14ac:dyDescent="0.25">
      <c r="C148" t="str">
        <f>_xlfn.CONCAT( (HEX2BIN("F3", 8)), (HEX2BIN("F3", 8)), "b" )</f>
        <v>1111001111110011b</v>
      </c>
    </row>
    <row r="149" spans="3:3" x14ac:dyDescent="0.25">
      <c r="C149" t="str">
        <f>_xlfn.CONCAT( (HEX2BIN("FC", 8)), (HEX2BIN("FC", 8)), "b" )</f>
        <v>1111110011111100b</v>
      </c>
    </row>
    <row r="151" spans="3:3" x14ac:dyDescent="0.25">
      <c r="C151" t="s">
        <v>234</v>
      </c>
    </row>
    <row r="152" spans="3:3" x14ac:dyDescent="0.25">
      <c r="C152" t="str" cm="1">
        <f t="array" aca="1" ref="C152" ca="1">INDEX($C$142:$C$149,RANDBETWEEN(1,COUNTA($C$142:$C$149)), 1)</f>
        <v>1100110011111111b</v>
      </c>
    </row>
    <row r="154" spans="3:3" x14ac:dyDescent="0.25">
      <c r="C154" t="s">
        <v>135</v>
      </c>
    </row>
    <row r="155" spans="3:3" x14ac:dyDescent="0.25">
      <c r="C155" t="s">
        <v>105</v>
      </c>
    </row>
    <row r="156" spans="3:3" x14ac:dyDescent="0.25">
      <c r="C156" t="s">
        <v>106</v>
      </c>
    </row>
    <row r="157" spans="3:3" x14ac:dyDescent="0.25">
      <c r="C157" t="s">
        <v>107</v>
      </c>
    </row>
    <row r="158" spans="3:3" x14ac:dyDescent="0.25">
      <c r="C158" t="s">
        <v>108</v>
      </c>
    </row>
    <row r="160" spans="3:3" x14ac:dyDescent="0.25">
      <c r="C160" t="s">
        <v>134</v>
      </c>
    </row>
    <row r="161" spans="3:5" x14ac:dyDescent="0.25">
      <c r="C161" t="str" cm="1">
        <f t="array" aca="1" ref="C161" ca="1">INDEX($C$155:$C$158, RANDBETWEEN(1, COUNTA($C$155:$C$158)), 1)</f>
        <v>ROR</v>
      </c>
    </row>
    <row r="163" spans="3:5" x14ac:dyDescent="0.25">
      <c r="C163" t="s">
        <v>110</v>
      </c>
    </row>
    <row r="164" spans="3:5" x14ac:dyDescent="0.25">
      <c r="C164" t="s">
        <v>111</v>
      </c>
    </row>
    <row r="166" spans="3:5" x14ac:dyDescent="0.25">
      <c r="C166" t="s">
        <v>136</v>
      </c>
    </row>
    <row r="167" spans="3:5" x14ac:dyDescent="0.25">
      <c r="C167" t="s">
        <v>266</v>
      </c>
    </row>
    <row r="168" spans="3:5" x14ac:dyDescent="0.25">
      <c r="C168" t="s">
        <v>267</v>
      </c>
    </row>
    <row r="170" spans="3:5" x14ac:dyDescent="0.25">
      <c r="C170" t="s">
        <v>139</v>
      </c>
    </row>
    <row r="171" spans="3:5" x14ac:dyDescent="0.25">
      <c r="C171" t="str" cm="1">
        <f t="array" aca="1" ref="C171" ca="1">INDEX($C$167:$C$168, RANDBETWEEN(1, COUNTA($C$167:$C$168)), 1)</f>
        <v>NEAR</v>
      </c>
    </row>
    <row r="172" spans="3:5" x14ac:dyDescent="0.25">
      <c r="C172" t="str" cm="1">
        <f t="array" aca="1" ref="C172" ca="1">INDEX($C$167:$C$168, RANDBETWEEN(1, COUNTA($C$167:$C$168)), 1)</f>
        <v>NEAR</v>
      </c>
    </row>
    <row r="173" spans="3:5" x14ac:dyDescent="0.25">
      <c r="E173" s="75"/>
    </row>
    <row r="174" spans="3:5" x14ac:dyDescent="0.25">
      <c r="C174" s="62" t="s">
        <v>187</v>
      </c>
    </row>
    <row r="175" spans="3:5" x14ac:dyDescent="0.25">
      <c r="C175" s="73" t="s">
        <v>195</v>
      </c>
    </row>
    <row r="176" spans="3:5" x14ac:dyDescent="0.25">
      <c r="C176" s="74" t="s">
        <v>188</v>
      </c>
    </row>
    <row r="177" spans="3:3" x14ac:dyDescent="0.25">
      <c r="C177" s="74" t="s">
        <v>198</v>
      </c>
    </row>
    <row r="179" spans="3:3" x14ac:dyDescent="0.25">
      <c r="C179" s="62" t="s">
        <v>189</v>
      </c>
    </row>
    <row r="180" spans="3:3" x14ac:dyDescent="0.25">
      <c r="C180" s="73" t="s">
        <v>196</v>
      </c>
    </row>
    <row r="181" spans="3:3" x14ac:dyDescent="0.25">
      <c r="C181" s="74" t="s">
        <v>190</v>
      </c>
    </row>
    <row r="182" spans="3:3" x14ac:dyDescent="0.25">
      <c r="C182" s="74"/>
    </row>
    <row r="184" spans="3:3" x14ac:dyDescent="0.25">
      <c r="C184" s="62" t="s">
        <v>192</v>
      </c>
    </row>
    <row r="185" spans="3:3" x14ac:dyDescent="0.25">
      <c r="C185" s="76" t="s">
        <v>193</v>
      </c>
    </row>
    <row r="186" spans="3:3" x14ac:dyDescent="0.25">
      <c r="C186" s="74" t="s">
        <v>194</v>
      </c>
    </row>
    <row r="187" spans="3:3" x14ac:dyDescent="0.25">
      <c r="C187" s="74" t="s">
        <v>197</v>
      </c>
    </row>
    <row r="188" spans="3:3" x14ac:dyDescent="0.25">
      <c r="C188" s="74"/>
    </row>
    <row r="189" spans="3:3" x14ac:dyDescent="0.25">
      <c r="C189" t="s">
        <v>191</v>
      </c>
    </row>
    <row r="190" spans="3:3" x14ac:dyDescent="0.25">
      <c r="C190" s="73">
        <f ca="1">RANDBETWEEN(1, 2)</f>
        <v>2</v>
      </c>
    </row>
    <row r="191" spans="3:3" x14ac:dyDescent="0.25">
      <c r="C191" s="94" t="s">
        <v>314</v>
      </c>
    </row>
    <row r="192" spans="3:3" x14ac:dyDescent="0.25">
      <c r="C192" s="62"/>
    </row>
    <row r="193" spans="3:3" x14ac:dyDescent="0.25">
      <c r="C193" s="73"/>
    </row>
    <row r="195" spans="3:3" x14ac:dyDescent="0.25">
      <c r="C195" s="62"/>
    </row>
    <row r="196" spans="3:3" x14ac:dyDescent="0.25">
      <c r="C196" s="73"/>
    </row>
    <row r="197" spans="3:3" x14ac:dyDescent="0.25">
      <c r="C197" s="74"/>
    </row>
    <row r="199" spans="3:3" x14ac:dyDescent="0.25">
      <c r="C199" s="62"/>
    </row>
    <row r="200" spans="3:3" x14ac:dyDescent="0.25">
      <c r="C200" s="73"/>
    </row>
  </sheetData>
  <mergeCells count="2">
    <mergeCell ref="B3:B63"/>
    <mergeCell ref="B111:B11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009A2-1AE2-44B9-BD60-F073560C2643}">
  <sheetPr codeName="Sheet21"/>
  <dimension ref="A1:K177"/>
  <sheetViews>
    <sheetView zoomScale="85" zoomScaleNormal="85" workbookViewId="0">
      <selection activeCell="C3" sqref="C3"/>
    </sheetView>
  </sheetViews>
  <sheetFormatPr defaultRowHeight="15" x14ac:dyDescent="0.25"/>
  <cols>
    <col min="1" max="1" width="1.7109375" customWidth="1"/>
    <col min="2" max="2" width="9.28515625" style="23" bestFit="1" customWidth="1"/>
    <col min="3" max="3" width="77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288</v>
      </c>
      <c r="C2" s="55" t="s">
        <v>14</v>
      </c>
      <c r="D2" s="10"/>
    </row>
    <row r="3" spans="1:6" ht="16.5" thickBot="1" x14ac:dyDescent="0.3">
      <c r="A3" s="70"/>
      <c r="B3" s="98"/>
      <c r="C3" s="57" t="s">
        <v>252</v>
      </c>
      <c r="D3" s="10"/>
    </row>
    <row r="4" spans="1:6" ht="16.5" thickBot="1" x14ac:dyDescent="0.3">
      <c r="A4" s="8"/>
      <c r="B4" s="99"/>
      <c r="C4" s="57" t="s">
        <v>236</v>
      </c>
      <c r="D4" s="10"/>
    </row>
    <row r="5" spans="1:6" ht="16.5" thickBot="1" x14ac:dyDescent="0.3">
      <c r="A5" s="8"/>
      <c r="B5" s="99"/>
      <c r="C5" s="57" t="s">
        <v>253</v>
      </c>
      <c r="D5" s="10"/>
    </row>
    <row r="6" spans="1:6" ht="15.75" thickBot="1" x14ac:dyDescent="0.3">
      <c r="A6" s="8"/>
      <c r="B6" s="99"/>
      <c r="C6" s="58"/>
      <c r="D6" s="10"/>
    </row>
    <row r="7" spans="1:6" ht="16.5" thickBot="1" x14ac:dyDescent="0.3">
      <c r="A7" s="8"/>
      <c r="B7" s="99"/>
      <c r="C7" s="55" t="str">
        <f ca="1">_xlfn.CONCAT("masca equ ", C129)</f>
        <v>masca equ 0110011001100110b</v>
      </c>
      <c r="D7" s="10"/>
    </row>
    <row r="8" spans="1:6" ht="15.75" thickBot="1" x14ac:dyDescent="0.3">
      <c r="A8" s="8"/>
      <c r="B8" s="99"/>
      <c r="C8" s="58"/>
      <c r="D8" s="10"/>
    </row>
    <row r="9" spans="1:6" ht="16.5" thickBot="1" x14ac:dyDescent="0.3">
      <c r="A9" s="8"/>
      <c r="B9" s="99"/>
      <c r="C9" s="57" t="s">
        <v>261</v>
      </c>
      <c r="D9" s="10"/>
    </row>
    <row r="10" spans="1:6" ht="16.5" thickBot="1" x14ac:dyDescent="0.3">
      <c r="A10" s="8"/>
      <c r="B10" s="99"/>
      <c r="C10" s="57" t="str">
        <f ca="1">_xlfn.CONCAT(".STACK ", C116)</f>
        <v>.STACK 1440</v>
      </c>
      <c r="D10" s="10"/>
    </row>
    <row r="11" spans="1:6" ht="16.5" customHeight="1" thickBot="1" x14ac:dyDescent="0.3">
      <c r="A11" s="7"/>
      <c r="B11" s="99"/>
      <c r="C11" s="57" t="s">
        <v>262</v>
      </c>
      <c r="D11" s="10"/>
      <c r="F11" s="67" t="s">
        <v>184</v>
      </c>
    </row>
    <row r="12" spans="1:6" ht="17.100000000000001" customHeight="1" thickBot="1" x14ac:dyDescent="0.3">
      <c r="A12" s="7"/>
      <c r="B12" s="99"/>
      <c r="C12" s="57" t="str">
        <f ca="1">_xlfn.CONCAT("  var1 ", E12)</f>
        <v xml:space="preserve">  var1 DW 0A8D5h</v>
      </c>
      <c r="D12" s="10"/>
      <c r="E12" s="68" t="str">
        <f ca="1">_xlfn.CONCAT("DW ", E105)</f>
        <v>DW 0A8D5h</v>
      </c>
      <c r="F12" s="67" t="s">
        <v>185</v>
      </c>
    </row>
    <row r="13" spans="1:6" ht="17.100000000000001" customHeight="1" thickBot="1" x14ac:dyDescent="0.3">
      <c r="A13" s="7"/>
      <c r="B13" s="99"/>
      <c r="C13" s="57" t="str">
        <f ca="1">_xlfn.CONCAT("  var2 ", E13)</f>
        <v xml:space="preserve">  var2 DD 8D2B116h</v>
      </c>
      <c r="D13" s="10"/>
      <c r="E13" s="68" t="str">
        <f ca="1">_xlfn.CONCAT("DD ", E112)</f>
        <v>DD 8D2B116h</v>
      </c>
      <c r="F13" s="67"/>
    </row>
    <row r="14" spans="1:6" ht="17.100000000000001" customHeight="1" thickBot="1" x14ac:dyDescent="0.3">
      <c r="A14" s="7"/>
      <c r="B14" s="99"/>
      <c r="C14" s="57" t="str">
        <f ca="1">_xlfn.CONCAT("  var3 ", E14)</f>
        <v xml:space="preserve">  var3 DB 0C8h</v>
      </c>
      <c r="D14" s="10"/>
      <c r="E14" s="68" t="str">
        <f ca="1">_xlfn.CONCAT("DB ", E100)</f>
        <v>DB 0C8h</v>
      </c>
      <c r="F14" s="77" t="s">
        <v>199</v>
      </c>
    </row>
    <row r="15" spans="1:6" ht="17.100000000000001" customHeight="1" thickBot="1" x14ac:dyDescent="0.3">
      <c r="A15" s="7"/>
      <c r="B15" s="99"/>
      <c r="C15" s="57" t="str">
        <f ca="1">_xlfn.CONCAT("  var4 ", E15)</f>
        <v xml:space="preserve">  var4 DW 0A0BAh</v>
      </c>
      <c r="D15" s="10"/>
      <c r="E15" s="68" t="str">
        <f ca="1">_xlfn.CONCAT("DW ", E104)</f>
        <v>DW 0A0BAh</v>
      </c>
      <c r="F15" s="78" t="s">
        <v>200</v>
      </c>
    </row>
    <row r="16" spans="1:6" ht="17.100000000000001" customHeight="1" thickBot="1" x14ac:dyDescent="0.3">
      <c r="A16" s="7"/>
      <c r="B16" s="99"/>
      <c r="C16" s="57" t="str">
        <f ca="1">_xlfn.CONCAT("  var5 ", E16)</f>
        <v xml:space="preserve">  var5 DB 0C6h</v>
      </c>
      <c r="D16" s="10"/>
      <c r="E16" s="68" t="str">
        <f ca="1">_xlfn.CONCAT("DB ", E99)</f>
        <v>DB 0C6h</v>
      </c>
      <c r="F16" s="67" t="s">
        <v>201</v>
      </c>
    </row>
    <row r="17" spans="1:6" ht="17.100000000000001" customHeight="1" thickBot="1" x14ac:dyDescent="0.3">
      <c r="A17" s="7"/>
      <c r="B17" s="99"/>
      <c r="C17" s="57" t="str">
        <f ca="1" xml:space="preserve"> _xlfn.CONCAT("  var6 ", E17)</f>
        <v xml:space="preserve">  var6 DD 0B23D02EFh</v>
      </c>
      <c r="D17" s="10"/>
      <c r="E17" s="68" t="str">
        <f ca="1">_xlfn.CONCAT("DD ", E111)</f>
        <v>DD 0B23D02EFh</v>
      </c>
      <c r="F17" s="67"/>
    </row>
    <row r="18" spans="1:6" ht="17.100000000000001" customHeight="1" thickBot="1" x14ac:dyDescent="0.3">
      <c r="A18" s="7"/>
      <c r="B18" s="99"/>
      <c r="C18" s="57" t="s">
        <v>268</v>
      </c>
      <c r="D18" s="10"/>
      <c r="E18" s="68"/>
    </row>
    <row r="19" spans="1:6" ht="17.100000000000001" customHeight="1" thickBot="1" x14ac:dyDescent="0.3">
      <c r="A19" s="7"/>
      <c r="B19" s="99"/>
      <c r="C19" s="57" t="s">
        <v>263</v>
      </c>
      <c r="D19" s="10"/>
      <c r="E19" s="68"/>
      <c r="F19" s="68">
        <v>4</v>
      </c>
    </row>
    <row r="20" spans="1:6" ht="17.100000000000001" customHeight="1" thickBot="1" x14ac:dyDescent="0.3">
      <c r="A20" s="7"/>
      <c r="B20" s="99"/>
      <c r="C20" s="57"/>
      <c r="D20" s="10"/>
      <c r="F20" s="68">
        <v>3</v>
      </c>
    </row>
    <row r="21" spans="1:6" ht="17.100000000000001" customHeight="1" thickBot="1" x14ac:dyDescent="0.3">
      <c r="A21" s="7"/>
      <c r="B21" s="99"/>
      <c r="C21" s="57" t="s">
        <v>171</v>
      </c>
      <c r="D21" s="10"/>
      <c r="F21" s="68">
        <v>1</v>
      </c>
    </row>
    <row r="22" spans="1:6" ht="17.100000000000001" customHeight="1" thickBot="1" x14ac:dyDescent="0.3">
      <c r="A22" s="7"/>
      <c r="B22" s="99"/>
      <c r="C22" s="57" t="s">
        <v>179</v>
      </c>
      <c r="D22" s="10"/>
      <c r="F22" s="68">
        <v>2</v>
      </c>
    </row>
    <row r="23" spans="1:6" ht="17.100000000000001" customHeight="1" thickBot="1" x14ac:dyDescent="0.3">
      <c r="A23" s="7"/>
      <c r="B23" s="99"/>
      <c r="C23" s="57" t="str">
        <f ca="1">_xlfn.CONCAT("; daca nr1 &gt; nr2 =&gt; AL =  ", E23)</f>
        <v>; daca nr1 &gt; nr2 =&gt; AL =   1 (01h)</v>
      </c>
      <c r="D23" s="10"/>
      <c r="E23" s="73" t="str" cm="1">
        <f t="array" aca="1" ref="E23" ca="1">_xlfn.IFS(C167=1, C152, C167=2, C153, C167 = 3, C154)</f>
        <v xml:space="preserve"> 1 (01h)</v>
      </c>
      <c r="F23" s="68">
        <v>5</v>
      </c>
    </row>
    <row r="24" spans="1:6" ht="17.100000000000001" customHeight="1" thickBot="1" x14ac:dyDescent="0.3">
      <c r="A24" s="7"/>
      <c r="B24" s="99"/>
      <c r="C24" s="57" t="str">
        <f ca="1">_xlfn.CONCAT("; daca nr1 = nr2 =&gt; AL =  ", E24)</f>
        <v>; daca nr1 = nr2 =&gt; AL =   0 (00h)</v>
      </c>
      <c r="D24" s="10"/>
      <c r="E24" s="73" t="str" cm="1">
        <f t="array" aca="1" ref="E24" ca="1">_xlfn.IFS($C$167=1, C157, $C$167=2, C158, $C$167=3, C158 )</f>
        <v xml:space="preserve"> 0 (00h)</v>
      </c>
    </row>
    <row r="25" spans="1:6" ht="17.100000000000001" customHeight="1" thickBot="1" x14ac:dyDescent="0.3">
      <c r="A25" s="7"/>
      <c r="B25" s="99"/>
      <c r="C25" s="57" t="str">
        <f ca="1">_xlfn.CONCAT("; daca nr1 &lt; nr2 =&gt; AL =  ", E25)</f>
        <v>; daca nr1 &lt; nr2 =&gt; AL =  -1 (FFh)</v>
      </c>
      <c r="D25" s="10"/>
      <c r="E25" s="73" t="str" cm="1">
        <f t="array" aca="1" ref="E25" ca="1">_xlfn.IFS($C$167=1, C162, $C$167=2, C163, C167 = 3, C164)</f>
        <v>-1 (FFh)</v>
      </c>
    </row>
    <row r="26" spans="1:6" ht="17.100000000000001" customHeight="1" thickBot="1" x14ac:dyDescent="0.3">
      <c r="A26" s="7"/>
      <c r="B26" s="99"/>
      <c r="C26" s="57" t="str">
        <f ca="1">_xlfn.CONCAT("comparaNumere PROC ", C148)</f>
        <v>comparaNumere PROC NEAR</v>
      </c>
      <c r="D26" s="10"/>
    </row>
    <row r="27" spans="1:6" ht="17.100000000000001" customHeight="1" thickBot="1" x14ac:dyDescent="0.3">
      <c r="A27" s="7"/>
      <c r="B27" s="99"/>
      <c r="C27" s="57" t="s">
        <v>237</v>
      </c>
      <c r="D27" s="10"/>
    </row>
    <row r="28" spans="1:6" ht="17.100000000000001" customHeight="1" thickBot="1" x14ac:dyDescent="0.3">
      <c r="A28" s="7"/>
      <c r="B28" s="99"/>
      <c r="C28" s="57" t="s">
        <v>285</v>
      </c>
      <c r="D28" s="10"/>
    </row>
    <row r="29" spans="1:6" ht="17.100000000000001" customHeight="1" thickBot="1" x14ac:dyDescent="0.3">
      <c r="A29" s="7"/>
      <c r="B29" s="99"/>
      <c r="C29" s="57"/>
      <c r="D29" s="10"/>
    </row>
    <row r="30" spans="1:6" ht="17.100000000000001" customHeight="1" thickBot="1" x14ac:dyDescent="0.3">
      <c r="A30" s="7"/>
      <c r="B30" s="99"/>
      <c r="C30" s="57" t="str">
        <f ca="1">_xlfn.CONCAT("nuFaceNimic PROC ", C149)</f>
        <v>nuFaceNimic PROC NEAR</v>
      </c>
      <c r="D30" s="10"/>
    </row>
    <row r="31" spans="1:6" ht="17.100000000000001" customHeight="1" thickBot="1" x14ac:dyDescent="0.3">
      <c r="A31" s="7"/>
      <c r="B31" s="99"/>
      <c r="C31" s="57" t="s">
        <v>161</v>
      </c>
      <c r="D31" s="10"/>
    </row>
    <row r="32" spans="1:6" ht="17.100000000000001" customHeight="1" thickBot="1" x14ac:dyDescent="0.3">
      <c r="A32" s="7"/>
      <c r="B32" s="99"/>
      <c r="C32" s="57" t="s">
        <v>163</v>
      </c>
      <c r="D32" s="10"/>
    </row>
    <row r="33" spans="1:5" ht="17.100000000000001" customHeight="1" thickBot="1" x14ac:dyDescent="0.3">
      <c r="A33" s="7"/>
      <c r="B33" s="99"/>
      <c r="C33" s="57" t="s">
        <v>269</v>
      </c>
      <c r="D33" s="10"/>
    </row>
    <row r="34" spans="1:5" ht="17.100000000000001" customHeight="1" thickBot="1" x14ac:dyDescent="0.3">
      <c r="A34" s="7"/>
      <c r="B34" s="99"/>
      <c r="C34" s="57"/>
      <c r="D34" s="10"/>
    </row>
    <row r="35" spans="1:5" ht="17.100000000000001" customHeight="1" thickBot="1" x14ac:dyDescent="0.3">
      <c r="A35" s="7"/>
      <c r="B35" s="99"/>
      <c r="C35" s="57" t="s">
        <v>22</v>
      </c>
      <c r="D35" s="10"/>
    </row>
    <row r="36" spans="1:5" ht="17.100000000000001" customHeight="1" thickBot="1" x14ac:dyDescent="0.3">
      <c r="A36" s="7"/>
      <c r="B36" s="99"/>
      <c r="C36" s="57" t="s">
        <v>51</v>
      </c>
      <c r="D36" s="10"/>
    </row>
    <row r="37" spans="1:5" ht="17.100000000000001" customHeight="1" thickBot="1" x14ac:dyDescent="0.3">
      <c r="A37" s="7"/>
      <c r="B37" s="99"/>
      <c r="C37" s="57" t="s">
        <v>265</v>
      </c>
      <c r="D37" s="10"/>
    </row>
    <row r="38" spans="1:5" ht="17.100000000000001" customHeight="1" thickBot="1" x14ac:dyDescent="0.3">
      <c r="A38" s="7"/>
      <c r="B38" s="99"/>
      <c r="C38" s="57" t="s">
        <v>50</v>
      </c>
      <c r="D38" s="10"/>
    </row>
    <row r="39" spans="1:5" ht="17.100000000000001" customHeight="1" thickBot="1" x14ac:dyDescent="0.3">
      <c r="A39" s="7"/>
      <c r="B39" s="99"/>
      <c r="C39" s="57" t="s">
        <v>284</v>
      </c>
      <c r="D39" s="10"/>
    </row>
    <row r="40" spans="1:5" ht="17.100000000000001" customHeight="1" thickBot="1" x14ac:dyDescent="0.3">
      <c r="A40" s="7"/>
      <c r="B40" s="100"/>
      <c r="C40" s="57" t="s">
        <v>52</v>
      </c>
      <c r="D40" s="10"/>
    </row>
    <row r="41" spans="1:5" ht="17.100000000000001" customHeight="1" thickBot="1" x14ac:dyDescent="0.3">
      <c r="A41" s="7"/>
      <c r="B41" s="89">
        <v>1</v>
      </c>
      <c r="C41" s="57" t="s">
        <v>132</v>
      </c>
      <c r="D41" s="10"/>
    </row>
    <row r="42" spans="1:5" ht="17.100000000000001" customHeight="1" thickBot="1" x14ac:dyDescent="0.3">
      <c r="A42" s="7"/>
      <c r="B42" s="89">
        <v>2</v>
      </c>
      <c r="C42" s="57" t="str">
        <f ca="1">_xlfn.CONCAT("  MOV AX, ", E109)</f>
        <v xml:space="preserve">  MOV AX, 4F0Fh</v>
      </c>
      <c r="D42" s="10"/>
      <c r="E42" s="86" t="s">
        <v>233</v>
      </c>
    </row>
    <row r="43" spans="1:5" ht="17.100000000000001" customHeight="1" thickBot="1" x14ac:dyDescent="0.3">
      <c r="A43" s="7"/>
      <c r="B43" s="89">
        <v>3</v>
      </c>
      <c r="C43" s="57" t="s">
        <v>71</v>
      </c>
      <c r="D43" s="10"/>
    </row>
    <row r="44" spans="1:5" ht="17.100000000000001" customHeight="1" thickBot="1" x14ac:dyDescent="0.3">
      <c r="A44" s="7"/>
      <c r="B44" s="89">
        <v>4</v>
      </c>
      <c r="C44" s="57" t="s">
        <v>72</v>
      </c>
      <c r="D44" s="10"/>
    </row>
    <row r="45" spans="1:5" ht="17.100000000000001" customHeight="1" thickBot="1" x14ac:dyDescent="0.3">
      <c r="A45" s="7"/>
      <c r="B45" s="89">
        <v>5</v>
      </c>
      <c r="C45" s="57" t="s">
        <v>72</v>
      </c>
      <c r="D45" s="10"/>
    </row>
    <row r="46" spans="1:5" ht="17.100000000000001" customHeight="1" thickBot="1" x14ac:dyDescent="0.3">
      <c r="A46" s="7"/>
      <c r="B46" s="89">
        <v>6</v>
      </c>
      <c r="C46" s="57" t="s">
        <v>73</v>
      </c>
      <c r="D46" s="10"/>
    </row>
    <row r="47" spans="1:5" ht="17.100000000000001" customHeight="1" thickBot="1" x14ac:dyDescent="0.3">
      <c r="A47" s="7"/>
      <c r="B47" s="89">
        <v>7</v>
      </c>
      <c r="C47" s="57" t="str">
        <f ca="1">_xlfn.CONCAT("  MOV DL, BYTE PTR var", RANDBETWEEN(1, 5) )</f>
        <v xml:space="preserve">  MOV DL, BYTE PTR var1</v>
      </c>
      <c r="D47" s="10"/>
    </row>
    <row r="48" spans="1:5" ht="17.100000000000001" customHeight="1" thickBot="1" x14ac:dyDescent="0.3">
      <c r="A48" s="7"/>
      <c r="B48" s="89">
        <v>8</v>
      </c>
      <c r="C48" s="57" t="str">
        <f ca="1">_xlfn.CONCAT( "  MOV DH, BYTE PTR var6 + ", RANDBETWEEN(1, 3) )</f>
        <v xml:space="preserve">  MOV DH, BYTE PTR var6 + 2</v>
      </c>
      <c r="D48" s="10"/>
    </row>
    <row r="49" spans="1:4" ht="17.100000000000001" customHeight="1" thickBot="1" x14ac:dyDescent="0.3">
      <c r="A49" s="7"/>
      <c r="B49" s="89">
        <v>9</v>
      </c>
      <c r="C49" s="57" t="s">
        <v>155</v>
      </c>
      <c r="D49" s="10"/>
    </row>
    <row r="50" spans="1:4" ht="17.100000000000001" customHeight="1" thickBot="1" x14ac:dyDescent="0.3">
      <c r="A50" s="7"/>
      <c r="B50" s="89">
        <v>10</v>
      </c>
      <c r="C50" s="57" t="s">
        <v>152</v>
      </c>
      <c r="D50" s="10"/>
    </row>
    <row r="51" spans="1:4" ht="17.100000000000001" customHeight="1" thickBot="1" x14ac:dyDescent="0.3">
      <c r="A51" s="7"/>
      <c r="B51" s="89">
        <v>11</v>
      </c>
      <c r="C51" s="57" t="str">
        <f ca="1">_xlfn.CONCAT( "  MOV CL, ", RANDBETWEEN(1, 3) )</f>
        <v xml:space="preserve">  MOV CL, 3</v>
      </c>
      <c r="D51" s="10"/>
    </row>
    <row r="52" spans="1:4" ht="17.100000000000001" customHeight="1" thickBot="1" x14ac:dyDescent="0.3">
      <c r="A52" s="7"/>
      <c r="B52" s="89">
        <v>12</v>
      </c>
      <c r="C52" s="57" t="str">
        <f ca="1">_xlfn.CONCAT("  ",C138," DX, CL")</f>
        <v xml:space="preserve">  ROL DX, CL</v>
      </c>
      <c r="D52" s="10"/>
    </row>
    <row r="53" spans="1:4" ht="17.100000000000001" customHeight="1" thickBot="1" x14ac:dyDescent="0.3">
      <c r="A53" s="7"/>
      <c r="B53" s="89">
        <v>13</v>
      </c>
      <c r="C53" s="57" t="s">
        <v>153</v>
      </c>
      <c r="D53" s="10"/>
    </row>
    <row r="54" spans="1:4" ht="17.100000000000001" customHeight="1" thickBot="1" x14ac:dyDescent="0.3">
      <c r="A54" s="7"/>
      <c r="B54" s="89">
        <v>14</v>
      </c>
      <c r="C54" s="57" t="s">
        <v>156</v>
      </c>
      <c r="D54" s="10"/>
    </row>
    <row r="55" spans="1:4" ht="17.100000000000001" customHeight="1" thickBot="1" x14ac:dyDescent="0.3">
      <c r="A55" s="7"/>
      <c r="B55" s="89">
        <v>15</v>
      </c>
      <c r="C55" s="57" t="s">
        <v>159</v>
      </c>
      <c r="D55" s="10"/>
    </row>
    <row r="56" spans="1:4" ht="17.100000000000001" customHeight="1" thickBot="1" x14ac:dyDescent="0.3">
      <c r="A56" s="7"/>
      <c r="B56" s="89">
        <v>16</v>
      </c>
      <c r="C56" s="57" t="s">
        <v>286</v>
      </c>
      <c r="D56" s="10"/>
    </row>
    <row r="57" spans="1:4" ht="17.100000000000001" customHeight="1" thickBot="1" x14ac:dyDescent="0.3">
      <c r="A57" s="7"/>
      <c r="B57" s="89">
        <v>17</v>
      </c>
      <c r="C57" s="57" t="s">
        <v>287</v>
      </c>
      <c r="D57" s="10"/>
    </row>
    <row r="58" spans="1:4" ht="17.100000000000001" customHeight="1" thickBot="1" x14ac:dyDescent="0.3">
      <c r="A58" s="7"/>
      <c r="B58" s="89">
        <v>18</v>
      </c>
      <c r="C58" s="57" t="s">
        <v>140</v>
      </c>
      <c r="D58" s="10"/>
    </row>
    <row r="59" spans="1:4" ht="17.100000000000001" customHeight="1" thickBot="1" x14ac:dyDescent="0.3">
      <c r="A59" s="7"/>
      <c r="B59" s="89">
        <v>19</v>
      </c>
      <c r="C59" s="57" t="s">
        <v>254</v>
      </c>
      <c r="D59" s="10"/>
    </row>
    <row r="60" spans="1:4" ht="17.100000000000001" customHeight="1" thickBot="1" x14ac:dyDescent="0.3">
      <c r="A60" s="7"/>
      <c r="B60" s="89">
        <v>20</v>
      </c>
      <c r="C60" s="57" t="s">
        <v>255</v>
      </c>
      <c r="D60" s="10"/>
    </row>
    <row r="61" spans="1:4" ht="17.100000000000001" customHeight="1" thickBot="1" x14ac:dyDescent="0.3">
      <c r="A61" s="7"/>
      <c r="B61" s="89">
        <v>21</v>
      </c>
      <c r="C61" s="57" t="s">
        <v>257</v>
      </c>
      <c r="D61" s="10"/>
    </row>
    <row r="62" spans="1:4" ht="17.100000000000001" customHeight="1" thickBot="1" x14ac:dyDescent="0.3">
      <c r="A62" s="7"/>
      <c r="B62" s="89"/>
      <c r="C62" s="57" t="s">
        <v>143</v>
      </c>
      <c r="D62" s="10"/>
    </row>
    <row r="63" spans="1:4" ht="17.100000000000001" customHeight="1" thickBot="1" x14ac:dyDescent="0.3">
      <c r="A63" s="7"/>
      <c r="B63" s="89">
        <v>22</v>
      </c>
      <c r="C63" s="57" t="str">
        <f ca="1">_xlfn.CONCAT("  MOV BX, ", (RANDBETWEEN(0, 4) * 4) )</f>
        <v xml:space="preserve">  MOV BX, 12</v>
      </c>
      <c r="D63" s="10"/>
    </row>
    <row r="64" spans="1:4" ht="17.100000000000001" customHeight="1" thickBot="1" x14ac:dyDescent="0.3">
      <c r="A64" s="7"/>
      <c r="B64" s="89">
        <v>23</v>
      </c>
      <c r="C64" s="57" t="s">
        <v>142</v>
      </c>
      <c r="D64" s="10"/>
    </row>
    <row r="65" spans="1:11" ht="17.100000000000001" customHeight="1" thickBot="1" x14ac:dyDescent="0.3">
      <c r="A65" s="7"/>
      <c r="B65" s="89">
        <v>24</v>
      </c>
      <c r="C65" s="57" t="str">
        <f ca="1">IF(E65="  MOV CX, WORD PTR ES:[DI + 0]", "  MOV CX, WORD PTR ES:[DI]", E65)</f>
        <v xml:space="preserve">  MOV CX, WORD PTR ES:[DI + 3]</v>
      </c>
      <c r="D65" s="10"/>
      <c r="E65" s="62" t="str">
        <f ca="1">_xlfn.CONCAT("  MOV CX, WORD PTR ES:[DI + ", RANDBETWEEN(0, 3), "]")</f>
        <v xml:space="preserve">  MOV CX, WORD PTR ES:[DI + 3]</v>
      </c>
      <c r="F65" s="62"/>
      <c r="G65" s="62"/>
    </row>
    <row r="66" spans="1:11" ht="17.100000000000001" customHeight="1" thickBot="1" x14ac:dyDescent="0.3">
      <c r="A66" s="7"/>
      <c r="B66" s="89">
        <v>25</v>
      </c>
      <c r="C66" s="57" t="s">
        <v>256</v>
      </c>
      <c r="D66" s="10"/>
      <c r="E66" s="62"/>
      <c r="F66" s="62"/>
      <c r="G66" s="62"/>
    </row>
    <row r="67" spans="1:11" ht="17.100000000000001" customHeight="1" thickBot="1" x14ac:dyDescent="0.3">
      <c r="A67" s="7"/>
      <c r="B67" s="89"/>
      <c r="C67" s="57" t="s">
        <v>144</v>
      </c>
      <c r="D67" s="10"/>
      <c r="E67" s="62"/>
      <c r="F67" s="62"/>
      <c r="G67" s="62"/>
    </row>
    <row r="68" spans="1:11" ht="17.100000000000001" customHeight="1" thickBot="1" x14ac:dyDescent="0.3">
      <c r="A68" s="7"/>
      <c r="B68" s="89">
        <v>26</v>
      </c>
      <c r="C68" s="57" t="str">
        <f ca="1">_xlfn.CONCAT("  MOV BX, ", (RANDBETWEEN(0, 4) * 4) )</f>
        <v xml:space="preserve">  MOV BX, 0</v>
      </c>
      <c r="D68" s="10"/>
      <c r="E68" s="62"/>
      <c r="F68" s="62"/>
      <c r="G68" s="62"/>
    </row>
    <row r="69" spans="1:11" ht="17.100000000000001" customHeight="1" thickBot="1" x14ac:dyDescent="0.3">
      <c r="A69" s="7"/>
      <c r="B69" s="89">
        <v>27</v>
      </c>
      <c r="C69" s="57" t="s">
        <v>142</v>
      </c>
      <c r="D69" s="10"/>
      <c r="E69" s="62"/>
      <c r="F69" s="62"/>
      <c r="G69" s="62"/>
    </row>
    <row r="70" spans="1:11" ht="17.100000000000001" customHeight="1" thickBot="1" x14ac:dyDescent="0.3">
      <c r="A70" s="7"/>
      <c r="B70" s="89">
        <v>28</v>
      </c>
      <c r="C70" s="57" t="str">
        <f ca="1">IF(E70="  MOV CX, WORD PTR ES:[DI + 0]", "  MOV CX, WORD PTR ES:[DI]", E70)</f>
        <v xml:space="preserve">  MOV CX, WORD PTR ES:[DI]</v>
      </c>
      <c r="D70" s="10"/>
      <c r="E70" s="62" t="str">
        <f ca="1">_xlfn.CONCAT("  MOV CX, WORD PTR ES:[DI + ", RANDBETWEEN(0, 3), "]")</f>
        <v xml:space="preserve">  MOV CX, WORD PTR ES:[DI + 0]</v>
      </c>
      <c r="F70" s="62"/>
      <c r="G70" s="62"/>
    </row>
    <row r="71" spans="1:11" ht="17.100000000000001" customHeight="1" thickBot="1" x14ac:dyDescent="0.3">
      <c r="A71" s="9"/>
      <c r="B71" s="89"/>
      <c r="C71" s="57" t="s">
        <v>167</v>
      </c>
      <c r="D71" s="10"/>
      <c r="E71" s="62"/>
      <c r="F71" s="62"/>
      <c r="G71" s="62"/>
    </row>
    <row r="72" spans="1:11" ht="17.100000000000001" customHeight="1" thickBot="1" x14ac:dyDescent="0.3">
      <c r="A72" s="9"/>
      <c r="B72" s="89">
        <v>29</v>
      </c>
      <c r="C72" s="57" t="s">
        <v>156</v>
      </c>
      <c r="D72" s="10"/>
      <c r="E72" s="62"/>
      <c r="F72" s="62"/>
      <c r="G72" s="62"/>
    </row>
    <row r="73" spans="1:11" ht="17.100000000000001" customHeight="1" thickBot="1" x14ac:dyDescent="0.3">
      <c r="A73" s="9"/>
      <c r="B73" s="89">
        <v>30</v>
      </c>
      <c r="C73" s="57" t="s">
        <v>157</v>
      </c>
      <c r="D73" s="10"/>
      <c r="E73" s="62"/>
      <c r="F73" s="62"/>
      <c r="G73" s="62"/>
    </row>
    <row r="74" spans="1:11" ht="17.100000000000001" customHeight="1" thickBot="1" x14ac:dyDescent="0.3">
      <c r="A74" s="9"/>
      <c r="B74" s="89">
        <v>31</v>
      </c>
      <c r="C74" s="57" t="s">
        <v>168</v>
      </c>
      <c r="D74" s="10"/>
      <c r="E74" s="87" t="s">
        <v>235</v>
      </c>
      <c r="F74" s="63"/>
      <c r="G74" s="62"/>
    </row>
    <row r="75" spans="1:11" ht="17.100000000000001" customHeight="1" thickBot="1" x14ac:dyDescent="0.3">
      <c r="A75" s="9"/>
      <c r="B75" s="89">
        <v>32</v>
      </c>
      <c r="C75" s="57" t="s">
        <v>158</v>
      </c>
      <c r="D75" s="10"/>
      <c r="E75" s="62"/>
      <c r="F75" s="62"/>
      <c r="G75" s="62"/>
    </row>
    <row r="76" spans="1:11" ht="17.100000000000001" customHeight="1" thickBot="1" x14ac:dyDescent="0.3">
      <c r="A76" s="9"/>
      <c r="B76" s="89">
        <v>33</v>
      </c>
      <c r="C76" s="57" t="s">
        <v>159</v>
      </c>
      <c r="D76" s="10"/>
      <c r="E76" s="64" t="s">
        <v>182</v>
      </c>
      <c r="F76" s="64" t="s">
        <v>183</v>
      </c>
      <c r="G76" s="62"/>
    </row>
    <row r="77" spans="1:11" ht="17.100000000000001" customHeight="1" thickBot="1" x14ac:dyDescent="0.3">
      <c r="A77" s="9"/>
      <c r="B77" s="89">
        <v>34</v>
      </c>
      <c r="C77" s="57" t="s">
        <v>180</v>
      </c>
      <c r="D77" s="10"/>
      <c r="E77" s="64"/>
      <c r="F77" s="64"/>
      <c r="G77" s="62"/>
    </row>
    <row r="78" spans="1:11" ht="17.100000000000001" customHeight="1" thickBot="1" x14ac:dyDescent="0.3">
      <c r="A78" s="9"/>
      <c r="B78" s="89">
        <v>35</v>
      </c>
      <c r="C78" s="57" t="str">
        <f ca="1">_xlfn.CONCAT(E78, E101)</f>
        <v xml:space="preserve">  MOV BYTE PTR [BP + 1], 38h</v>
      </c>
      <c r="D78" s="10"/>
      <c r="E78" s="64" t="str">
        <f>_xlfn.CONCAT("  MOV BYTE PTR [BP + ", G78,"], ")</f>
        <v xml:space="preserve">  MOV BYTE PTR [BP + 1], </v>
      </c>
      <c r="F78" s="64"/>
      <c r="G78" s="62">
        <v>1</v>
      </c>
      <c r="H78" s="62"/>
      <c r="I78" s="62"/>
      <c r="J78" s="62"/>
      <c r="K78" s="62"/>
    </row>
    <row r="79" spans="1:11" ht="17.100000000000001" customHeight="1" thickBot="1" x14ac:dyDescent="0.3">
      <c r="A79" s="9"/>
      <c r="B79" s="89">
        <v>36</v>
      </c>
      <c r="C79" s="57" t="str">
        <f ca="1">_xlfn.CONCAT("  MOV WORD PTR [BP - ", ABS(G79),"], ", E106)</f>
        <v xml:space="preserve">  MOV WORD PTR [BP - 3], 0D439h</v>
      </c>
      <c r="D79" s="10"/>
      <c r="E79" s="64" t="str">
        <f ca="1">_xlfn.CONCAT("  MOV WORD PTR [BP - ", G79,"], ")</f>
        <v xml:space="preserve">  MOV WORD PTR [BP - -3], </v>
      </c>
      <c r="F79" s="64" t="str" cm="1">
        <f t="array" aca="1" ref="F79" ca="1">_xlfn.IFS( G79 &lt; 0, _xlfn.CONCAT( "  MOV WORD PTR [BP - ", ABS(G79), "], " ), G79 = 0, "  MOV WORD PTR [BP], ", G79 &gt; 0, _xlfn.CONCAT( "  MOV WORD PTR [BP + ", G79, "], " ) )</f>
        <v xml:space="preserve">  MOV WORD PTR [BP - 3], </v>
      </c>
      <c r="G79" s="63" cm="1">
        <f t="array" aca="1" ref="G79" ca="1">randNrBetweenWithException(-5, -1, -2, -4)</f>
        <v>-3</v>
      </c>
      <c r="H79" s="62"/>
      <c r="I79" s="62"/>
      <c r="J79" s="62"/>
      <c r="K79" s="62"/>
    </row>
    <row r="80" spans="1:11" ht="17.100000000000001" customHeight="1" thickBot="1" x14ac:dyDescent="0.3">
      <c r="A80" s="9"/>
      <c r="B80" s="89">
        <v>37</v>
      </c>
      <c r="C80" s="57" t="str">
        <f ca="1">_xlfn.CONCAT(E80, E107)</f>
        <v xml:space="preserve">  MOV WORD PTR [BP - 5], 6C49h</v>
      </c>
      <c r="D80" s="10"/>
      <c r="E80" s="64" t="str">
        <f ca="1">IF(F80=E79, REPLACE(F80, 22, 1, "2"), F80)</f>
        <v xml:space="preserve">  MOV WORD PTR [BP - 5], </v>
      </c>
      <c r="F80" s="64" t="str" cm="1">
        <f t="array" aca="1" ref="F80" ca="1">_xlfn.IFS( G80 &lt; 0, _xlfn.CONCAT( "  MOV WORD PTR [BP - ", ABS(G80), "], " ), G80 = 0, "  MOV WORD PTR [BP], ", G80 &gt; 0, _xlfn.CONCAT( "  MOV WORD PTR [BP + ", G80, "], " ) )</f>
        <v xml:space="preserve">  MOV WORD PTR [BP - 5], </v>
      </c>
      <c r="G80" s="63" cm="1">
        <f t="array" aca="1" ref="G80" ca="1">randNrBetweenWithException(-6, 2, G78, G79)</f>
        <v>-5</v>
      </c>
      <c r="H80" s="62"/>
      <c r="I80" s="62"/>
      <c r="J80" s="62"/>
      <c r="K80" s="62"/>
    </row>
    <row r="81" spans="1:11" ht="17.100000000000001" customHeight="1" thickBot="1" x14ac:dyDescent="0.3">
      <c r="A81" s="9"/>
      <c r="B81" s="89">
        <v>38</v>
      </c>
      <c r="C81" s="57" t="str">
        <f ca="1">_xlfn.CONCAT(F81, E102)</f>
        <v xml:space="preserve">  MOV BYTE PTR [BP - 6], 0E9h</v>
      </c>
      <c r="D81" s="10"/>
      <c r="E81" s="64" t="str">
        <f ca="1">IF(F81 = E78, REPLACE(F81, 22, 1, "2"), F81)</f>
        <v xml:space="preserve">  MOV BYTE PTR [BP - 6], </v>
      </c>
      <c r="F81" s="64" t="str" cm="1">
        <f t="array" aca="1" ref="F81" ca="1">_xlfn.IFS( G81 &lt; 0, _xlfn.CONCAT( "  MOV BYTE PTR [BP - ", ABS(G81), "], " ), G81 = 0, "  MOV BYTE PTR [BP], ", G81 &gt; 0, _xlfn.CONCAT( "  MOV BYTE PTR [BP + ", G81, "], " ) )</f>
        <v xml:space="preserve">  MOV BYTE PTR [BP - 6], </v>
      </c>
      <c r="G81" s="62" cm="1">
        <f t="array" aca="1" ref="G81" ca="1">randNrBetweenWithException(-6, 3, G78, G79, G80)</f>
        <v>-6</v>
      </c>
      <c r="H81" s="62"/>
      <c r="I81" s="62"/>
      <c r="J81" s="62"/>
      <c r="K81" s="62"/>
    </row>
    <row r="82" spans="1:11" ht="17.100000000000001" customHeight="1" thickBot="1" x14ac:dyDescent="0.3">
      <c r="A82" s="9"/>
      <c r="B82" s="89">
        <v>39</v>
      </c>
      <c r="C82" s="57" t="s">
        <v>258</v>
      </c>
      <c r="D82" s="10"/>
      <c r="E82" s="62"/>
      <c r="F82" s="62"/>
      <c r="G82" s="62"/>
    </row>
    <row r="83" spans="1:11" ht="17.100000000000001" customHeight="1" thickBot="1" x14ac:dyDescent="0.3">
      <c r="A83" s="9"/>
      <c r="B83" s="89">
        <v>40</v>
      </c>
      <c r="C83" s="57" t="s">
        <v>181</v>
      </c>
      <c r="D83" s="10"/>
    </row>
    <row r="84" spans="1:11" ht="17.100000000000001" customHeight="1" thickBot="1" x14ac:dyDescent="0.3">
      <c r="A84" s="9"/>
      <c r="B84" s="89">
        <v>41</v>
      </c>
      <c r="C84" s="57" t="s">
        <v>169</v>
      </c>
      <c r="D84" s="10"/>
    </row>
    <row r="85" spans="1:11" ht="17.100000000000001" customHeight="1" thickBot="1" x14ac:dyDescent="0.3">
      <c r="A85" s="9"/>
      <c r="B85" s="89">
        <v>42</v>
      </c>
      <c r="C85" s="57" t="s">
        <v>170</v>
      </c>
      <c r="D85" s="10"/>
    </row>
    <row r="86" spans="1:11" ht="17.100000000000001" customHeight="1" thickBot="1" x14ac:dyDescent="0.3">
      <c r="A86" s="9"/>
      <c r="B86" s="89">
        <v>43</v>
      </c>
      <c r="C86" s="57" t="s">
        <v>36</v>
      </c>
      <c r="D86" s="10"/>
    </row>
    <row r="87" spans="1:11" ht="17.100000000000001" customHeight="1" thickBot="1" x14ac:dyDescent="0.3">
      <c r="A87" s="9"/>
      <c r="B87" s="89">
        <v>44</v>
      </c>
      <c r="C87" s="57" t="s">
        <v>35</v>
      </c>
      <c r="D87" s="10"/>
    </row>
    <row r="88" spans="1:11" ht="17.100000000000001" customHeight="1" thickBot="1" x14ac:dyDescent="0.3">
      <c r="A88" s="9"/>
      <c r="B88" s="101"/>
      <c r="C88" s="57" t="s">
        <v>46</v>
      </c>
      <c r="D88" s="10"/>
    </row>
    <row r="89" spans="1:11" ht="16.5" thickBot="1" x14ac:dyDescent="0.3">
      <c r="A89" s="9"/>
      <c r="B89" s="102"/>
      <c r="C89" s="57" t="s">
        <v>259</v>
      </c>
      <c r="D89" s="10"/>
    </row>
    <row r="90" spans="1:11" ht="16.5" thickBot="1" x14ac:dyDescent="0.3">
      <c r="A90" s="7"/>
      <c r="B90" s="102"/>
      <c r="C90" s="57" t="s">
        <v>260</v>
      </c>
      <c r="D90" s="10"/>
    </row>
    <row r="91" spans="1:11" ht="16.5" thickBot="1" x14ac:dyDescent="0.3">
      <c r="A91" s="1"/>
      <c r="B91" s="103"/>
      <c r="C91" s="57" t="s">
        <v>264</v>
      </c>
      <c r="D91" s="1"/>
    </row>
    <row r="92" spans="1:11" ht="9.9499999999999993" customHeight="1" x14ac:dyDescent="0.25">
      <c r="A92" s="1"/>
      <c r="B92" s="38"/>
      <c r="C92" s="6"/>
      <c r="D92" s="1"/>
    </row>
    <row r="93" spans="1:11" x14ac:dyDescent="0.25">
      <c r="C93" s="1"/>
    </row>
    <row r="94" spans="1:11" x14ac:dyDescent="0.25">
      <c r="C94" s="1"/>
    </row>
    <row r="95" spans="1:11" x14ac:dyDescent="0.25">
      <c r="C95" t="s">
        <v>62</v>
      </c>
      <c r="E95" t="s">
        <v>63</v>
      </c>
    </row>
    <row r="96" spans="1:11" x14ac:dyDescent="0.25">
      <c r="C96" s="39" t="s">
        <v>58</v>
      </c>
    </row>
    <row r="97" spans="3:5" x14ac:dyDescent="0.25">
      <c r="C97">
        <f ca="1">RANDBETWEEN(0,255)</f>
        <v>125</v>
      </c>
      <c r="E97" t="str">
        <f ca="1">_xlfn.CONCAT( _xlfn.IFS( C97 &lt; HEX2DEC("A"), DEC2HEX(C97, 1), C97 &lt; HEX2DEC("A0"), DEC2HEX(C97, 2), C97 &lt; HEX2DEC("A00"), DEC2HEX(C97, 3), C97 &lt; HEX2DEC("A000"), DEC2HEX(C97, 4), C97 &lt; HEX2DEC("A0000"), DEC2HEX(C97, 5), C97 &lt; HEX2DEC("A00000"), DEC2HEX(C97, 6), C97 &lt; HEX2DEC("A000000"), DEC2HEX(C97, 7), C97 &lt; HEX2DEC("A0000000"), DEC2HEX(C97, 8), TRUE, DEC2HEX(C97, 9) ), "h" )</f>
        <v>7Dh</v>
      </c>
    </row>
    <row r="98" spans="3:5" x14ac:dyDescent="0.25">
      <c r="C98" s="39" t="s">
        <v>103</v>
      </c>
    </row>
    <row r="99" spans="3:5" x14ac:dyDescent="0.25">
      <c r="C99">
        <f ca="1">RANDBETWEEN(1,255)</f>
        <v>198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0C6h</v>
      </c>
    </row>
    <row r="100" spans="3:5" x14ac:dyDescent="0.25">
      <c r="C100">
        <f ca="1">RANDBETWEEN(1,255)</f>
        <v>200</v>
      </c>
      <c r="E100" t="str">
        <f ca="1">_xlfn.CONCAT( _xlfn.IFS( C100 &lt; HEX2DEC("A"), DEC2HEX(C100, 1), C100 &lt; HEX2DEC("A0"), DEC2HEX(C100, 2), C100 &lt; HEX2DEC("A00"), DEC2HEX(C100, 3), C100 &lt; HEX2DEC("A000"), DEC2HEX(C100, 4), C100 &lt; HEX2DEC("A0000"), DEC2HEX(C100, 5), C100 &lt; HEX2DEC("A00000"), DEC2HEX(C100, 6), C100 &lt; HEX2DEC("A000000"), DEC2HEX(C100, 7), C100 &lt; HEX2DEC("A0000000"), DEC2HEX(C100, 8), TRUE, DEC2HEX(C100, 9) ), "h" )</f>
        <v>0C8h</v>
      </c>
    </row>
    <row r="101" spans="3:5" x14ac:dyDescent="0.25">
      <c r="C101">
        <f ca="1">RANDBETWEEN(1,255)</f>
        <v>56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38h</v>
      </c>
    </row>
    <row r="102" spans="3:5" x14ac:dyDescent="0.25">
      <c r="C102">
        <f ca="1">RANDBETWEEN(1,255)</f>
        <v>233</v>
      </c>
      <c r="E102" t="str">
        <f ca="1">_xlfn.CONCAT( _xlfn.IFS( C102 &lt; HEX2DEC("A"), DEC2HEX(C102, 1), C102 &lt; HEX2DEC("A0"), DEC2HEX(C102, 2), C102 &lt; HEX2DEC("A00"), DEC2HEX(C102, 3), C102 &lt; HEX2DEC("A000"), DEC2HEX(C102, 4), C102 &lt; HEX2DEC("A0000"), DEC2HEX(C102, 5), C102 &lt; HEX2DEC("A00000"), DEC2HEX(C102, 6), C102 &lt; HEX2DEC("A000000"), DEC2HEX(C102, 7), C102 &lt; HEX2DEC("A0000000"), DEC2HEX(C102, 8), TRUE, DEC2HEX(C102, 9) ), "h" )</f>
        <v>0E9h</v>
      </c>
    </row>
    <row r="103" spans="3:5" x14ac:dyDescent="0.25">
      <c r="C103" s="39" t="s">
        <v>60</v>
      </c>
    </row>
    <row r="104" spans="3:5" x14ac:dyDescent="0.25">
      <c r="C104">
        <f ca="1">RANDBETWEEN(256, 65535)</f>
        <v>41146</v>
      </c>
      <c r="E104" t="str">
        <f ca="1">_xlfn.CONCAT( _xlfn.IFS( C104 &lt; HEX2DEC("A"), DEC2HEX(C104, 1), C104 &lt; HEX2DEC("A0"), DEC2HEX(C104, 2), C104 &lt; HEX2DEC("A00"), DEC2HEX(C104, 3), C104 &lt; HEX2DEC("A000"), DEC2HEX(C104, 4), C104 &lt; HEX2DEC("A0000"), DEC2HEX(C104, 5), C104 &lt; HEX2DEC("A00000"), DEC2HEX(C104, 6), C104 &lt; HEX2DEC("A000000"), DEC2HEX(C104, 7), C104 &lt; HEX2DEC("A0000000"), DEC2HEX(C104, 8), TRUE, DEC2HEX(C104, 9) ), "h" )</f>
        <v>0A0BAh</v>
      </c>
    </row>
    <row r="105" spans="3:5" x14ac:dyDescent="0.25">
      <c r="C105">
        <f ca="1">RANDBETWEEN(256, 65535)</f>
        <v>43221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0A8D5h</v>
      </c>
    </row>
    <row r="106" spans="3:5" x14ac:dyDescent="0.25">
      <c r="C106">
        <f ca="1">RANDBETWEEN(256, 65535)</f>
        <v>54329</v>
      </c>
      <c r="E106" t="str">
        <f ca="1">_xlfn.CONCAT( _xlfn.IFS( C106 &lt; HEX2DEC("A"), DEC2HEX(C106, 1), C106 &lt; HEX2DEC("A0"), DEC2HEX(C106, 2), C106 &lt; HEX2DEC("A00"), DEC2HEX(C106, 3), C106 &lt; HEX2DEC("A000"), DEC2HEX(C106, 4), C106 &lt; HEX2DEC("A0000"), DEC2HEX(C106, 5), C106 &lt; HEX2DEC("A00000"), DEC2HEX(C106, 6), C106 &lt; HEX2DEC("A000000"), DEC2HEX(C106, 7), C106 &lt; HEX2DEC("A0000000"), DEC2HEX(C106, 8), TRUE, DEC2HEX(C106, 9) ), "h" )</f>
        <v>0D439h</v>
      </c>
    </row>
    <row r="107" spans="3:5" x14ac:dyDescent="0.25">
      <c r="C107">
        <f ca="1">RANDBETWEEN(256, 65535)</f>
        <v>27721</v>
      </c>
      <c r="E107" t="str">
        <f ca="1">_xlfn.CONCAT( _xlfn.IFS( C107 &lt; HEX2DEC("A"), DEC2HEX(C107, 1), C107 &lt; HEX2DEC("A0"), DEC2HEX(C107, 2), C107 &lt; HEX2DEC("A00"), DEC2HEX(C107, 3), C107 &lt; HEX2DEC("A000"), DEC2HEX(C107, 4), C107 &lt; HEX2DEC("A0000"), DEC2HEX(C107, 5), C107 &lt; HEX2DEC("A00000"), DEC2HEX(C107, 6), C107 &lt; HEX2DEC("A000000"), DEC2HEX(C107, 7), C107 &lt; HEX2DEC("A0000000"), DEC2HEX(C107, 8), TRUE, DEC2HEX(C107, 9) ), "h" )</f>
        <v>6C49h</v>
      </c>
    </row>
    <row r="108" spans="3:5" x14ac:dyDescent="0.25">
      <c r="C108" s="39" t="s">
        <v>232</v>
      </c>
    </row>
    <row r="109" spans="3:5" x14ac:dyDescent="0.25">
      <c r="C109">
        <f ca="1">RANDBETWEEN(HEX2DEC("1000"), 65535)</f>
        <v>20239</v>
      </c>
      <c r="E109" t="str">
        <f ca="1">_xlfn.CONCAT( _xlfn.IFS( C109 &lt; HEX2DEC("A"), DEC2HEX(C109, 1), C109 &lt; HEX2DEC("A0"), DEC2HEX(C109, 2), C109 &lt; HEX2DEC("A00"), DEC2HEX(C109, 3), C109 &lt; HEX2DEC("A000"), DEC2HEX(C109, 4), C109 &lt; HEX2DEC("A0000"), DEC2HEX(C109, 5), C109 &lt; HEX2DEC("A00000"), DEC2HEX(C109, 6), C109 &lt; HEX2DEC("A000000"), DEC2HEX(C109, 7), C109 &lt; HEX2DEC("A0000000"), DEC2HEX(C109, 8), TRUE, DEC2HEX(C109, 9) ), "h" )</f>
        <v>4F0Fh</v>
      </c>
    </row>
    <row r="110" spans="3:5" x14ac:dyDescent="0.25">
      <c r="C110" s="39" t="s">
        <v>61</v>
      </c>
    </row>
    <row r="111" spans="3:5" x14ac:dyDescent="0.25">
      <c r="C111">
        <f ca="1">RANDBETWEEN(65536, 4294967295)</f>
        <v>2990342895</v>
      </c>
      <c r="E111" t="str">
        <f ca="1">_xlfn.CONCAT( _xlfn.IFS( C111 &lt; HEX2DEC("A"), DEC2HEX(C111, 1), C111 &lt; HEX2DEC("A0"), DEC2HEX(C111, 2), C111 &lt; HEX2DEC("A00"), DEC2HEX(C111, 3), C111 &lt; HEX2DEC("A000"), DEC2HEX(C111, 4), C111 &lt; HEX2DEC("A0000"), DEC2HEX(C111, 5), C111 &lt; HEX2DEC("A00000"), DEC2HEX(C111, 6), C111 &lt; HEX2DEC("A000000"), DEC2HEX(C111, 7), C111 &lt; HEX2DEC("A0000000"), DEC2HEX(C111, 8), TRUE, DEC2HEX(C111, 9) ), "h" )</f>
        <v>0B23D02EFh</v>
      </c>
    </row>
    <row r="112" spans="3:5" x14ac:dyDescent="0.25">
      <c r="C112">
        <f ca="1">RANDBETWEEN(65536, 4294967295)</f>
        <v>148025622</v>
      </c>
      <c r="E112" t="str">
        <f ca="1">_xlfn.CONCAT( _xlfn.IFS( C112 &lt; HEX2DEC("A"), DEC2HEX(C112, 1), C112 &lt; HEX2DEC("A0"), DEC2HEX(C112, 2), C112 &lt; HEX2DEC("A00"), DEC2HEX(C112, 3), C112 &lt; HEX2DEC("A000"), DEC2HEX(C112, 4), C112 &lt; HEX2DEC("A0000"), DEC2HEX(C112, 5), C112 &lt; HEX2DEC("A00000"), DEC2HEX(C112, 6), C112 &lt; HEX2DEC("A000000"), DEC2HEX(C112, 7), C112 &lt; HEX2DEC("A0000000"), DEC2HEX(C112, 8), TRUE, DEC2HEX(C112, 9) ), "h" )</f>
        <v>8D2B116h</v>
      </c>
    </row>
    <row r="113" spans="3:5" x14ac:dyDescent="0.25">
      <c r="C113" t="s">
        <v>64</v>
      </c>
    </row>
    <row r="114" spans="3:5" x14ac:dyDescent="0.25">
      <c r="C114">
        <f ca="1">EVEN(RANDBETWEEN(100, 2048))</f>
        <v>1440</v>
      </c>
      <c r="E114" t="str">
        <f ca="1">_xlfn.CONCAT( _xlfn.IFS( C114 &lt; HEX2DEC("A"), DEC2HEX(C114, 1), C114 &lt; HEX2DEC("A0"), DEC2HEX(C114, 2), C114 &lt; HEX2DEC("A00"), DEC2HEX(C114, 3), C114 &lt; HEX2DEC("A000"), DEC2HEX(C114, 4), C114 &lt; HEX2DEC("A0000"), DEC2HEX(C114, 5), C114 &lt; HEX2DEC("A00000"), DEC2HEX(C114, 6), C114 &lt; HEX2DEC("A000000"), DEC2HEX(C114, 7), C114 &lt; HEX2DEC("A0000000"), DEC2HEX(C114, 8), TRUE, DEC2HEX(C114, 9) ), "h" )</f>
        <v>5A0h</v>
      </c>
    </row>
    <row r="115" spans="3:5" x14ac:dyDescent="0.25">
      <c r="C115" t="s">
        <v>65</v>
      </c>
    </row>
    <row r="116" spans="3:5" x14ac:dyDescent="0.25">
      <c r="C116">
        <f ca="1">ROUNDDOWN(C114/100, 1) * 100</f>
        <v>1440</v>
      </c>
    </row>
    <row r="118" spans="3:5" x14ac:dyDescent="0.25">
      <c r="C118" t="s">
        <v>88</v>
      </c>
    </row>
    <row r="119" spans="3:5" x14ac:dyDescent="0.25">
      <c r="C119" s="53" t="str">
        <f>_xlfn.CONCAT( (HEX2BIN("AA")), (HEX2BIN("AA")), "b" )</f>
        <v>1010101010101010b</v>
      </c>
    </row>
    <row r="120" spans="3:5" x14ac:dyDescent="0.25">
      <c r="C120" t="str">
        <f>_xlfn.CONCAT( (HEX2BIN("FF")), (HEX2BIN("AA")), "b" )</f>
        <v>1111111110101010b</v>
      </c>
    </row>
    <row r="121" spans="3:5" x14ac:dyDescent="0.25">
      <c r="C121" t="str">
        <f>_xlfn.CONCAT( (HEX2BIN("CC")), (HEX2BIN("FF")), "b" )</f>
        <v>1100110011111111b</v>
      </c>
    </row>
    <row r="122" spans="3:5" x14ac:dyDescent="0.25">
      <c r="C122" t="str">
        <f>_xlfn.CONCAT( (HEX2BIN("55", 8)), (HEX2BIN("55", 8)), "b" )</f>
        <v>0101010101010101b</v>
      </c>
    </row>
    <row r="123" spans="3:5" x14ac:dyDescent="0.25">
      <c r="C123" t="str">
        <f>_xlfn.CONCAT( (HEX2BIN("66", 8)), (HEX2BIN("66", 8)), "b" )</f>
        <v>0110011001100110b</v>
      </c>
    </row>
    <row r="124" spans="3:5" x14ac:dyDescent="0.25">
      <c r="C124" t="str">
        <f>_xlfn.CONCAT( (HEX2BIN("99", 8)), (HEX2BIN("99", 8)), "b" )</f>
        <v>1001100110011001b</v>
      </c>
    </row>
    <row r="125" spans="3:5" x14ac:dyDescent="0.25">
      <c r="C125" t="str">
        <f>_xlfn.CONCAT( (HEX2BIN("F3", 8)), (HEX2BIN("F3", 8)), "b" )</f>
        <v>1111001111110011b</v>
      </c>
    </row>
    <row r="126" spans="3:5" x14ac:dyDescent="0.25">
      <c r="C126" t="str">
        <f>_xlfn.CONCAT( (HEX2BIN("FC", 8)), (HEX2BIN("FC", 8)), "b" )</f>
        <v>1111110011111100b</v>
      </c>
    </row>
    <row r="128" spans="3:5" x14ac:dyDescent="0.25">
      <c r="C128" t="s">
        <v>234</v>
      </c>
    </row>
    <row r="129" spans="3:3" x14ac:dyDescent="0.25">
      <c r="C129" t="str" cm="1">
        <f t="array" aca="1" ref="C129" ca="1">INDEX($C$119:$C$126,RANDBETWEEN(1,COUNTA($C$119:$C$126)), 1)</f>
        <v>0110011001100110b</v>
      </c>
    </row>
    <row r="131" spans="3:3" x14ac:dyDescent="0.25">
      <c r="C131" t="s">
        <v>135</v>
      </c>
    </row>
    <row r="132" spans="3:3" x14ac:dyDescent="0.25">
      <c r="C132" t="s">
        <v>105</v>
      </c>
    </row>
    <row r="133" spans="3:3" x14ac:dyDescent="0.25">
      <c r="C133" t="s">
        <v>106</v>
      </c>
    </row>
    <row r="134" spans="3:3" x14ac:dyDescent="0.25">
      <c r="C134" t="s">
        <v>107</v>
      </c>
    </row>
    <row r="135" spans="3:3" x14ac:dyDescent="0.25">
      <c r="C135" t="s">
        <v>108</v>
      </c>
    </row>
    <row r="137" spans="3:3" x14ac:dyDescent="0.25">
      <c r="C137" t="s">
        <v>134</v>
      </c>
    </row>
    <row r="138" spans="3:3" x14ac:dyDescent="0.25">
      <c r="C138" t="str" cm="1">
        <f t="array" aca="1" ref="C138" ca="1">INDEX($C$132:$C$135, RANDBETWEEN(1, COUNTA($C$132:$C$135)), 1)</f>
        <v>ROL</v>
      </c>
    </row>
    <row r="140" spans="3:3" x14ac:dyDescent="0.25">
      <c r="C140" t="s">
        <v>110</v>
      </c>
    </row>
    <row r="141" spans="3:3" x14ac:dyDescent="0.25">
      <c r="C141" t="s">
        <v>111</v>
      </c>
    </row>
    <row r="143" spans="3:3" x14ac:dyDescent="0.25">
      <c r="C143" t="s">
        <v>136</v>
      </c>
    </row>
    <row r="144" spans="3:3" x14ac:dyDescent="0.25">
      <c r="C144" t="s">
        <v>266</v>
      </c>
    </row>
    <row r="145" spans="3:5" x14ac:dyDescent="0.25">
      <c r="C145" t="s">
        <v>267</v>
      </c>
    </row>
    <row r="147" spans="3:5" x14ac:dyDescent="0.25">
      <c r="C147" t="s">
        <v>139</v>
      </c>
    </row>
    <row r="148" spans="3:5" x14ac:dyDescent="0.25">
      <c r="C148" t="str" cm="1">
        <f t="array" aca="1" ref="C148" ca="1">INDEX($C$144:$C$145, RANDBETWEEN(1, COUNTA($C$144:$C$145)), 1)</f>
        <v>NEAR</v>
      </c>
    </row>
    <row r="149" spans="3:5" x14ac:dyDescent="0.25">
      <c r="C149" t="str" cm="1">
        <f t="array" aca="1" ref="C149" ca="1">INDEX($C$144:$C$145, RANDBETWEEN(1, COUNTA($C$144:$C$145)), 1)</f>
        <v>NEAR</v>
      </c>
    </row>
    <row r="150" spans="3:5" x14ac:dyDescent="0.25">
      <c r="E150" s="75"/>
    </row>
    <row r="151" spans="3:5" x14ac:dyDescent="0.25">
      <c r="C151" s="62" t="s">
        <v>187</v>
      </c>
    </row>
    <row r="152" spans="3:5" x14ac:dyDescent="0.25">
      <c r="C152" s="73" t="s">
        <v>195</v>
      </c>
    </row>
    <row r="153" spans="3:5" x14ac:dyDescent="0.25">
      <c r="C153" s="74" t="s">
        <v>188</v>
      </c>
    </row>
    <row r="154" spans="3:5" x14ac:dyDescent="0.25">
      <c r="C154" s="74" t="s">
        <v>197</v>
      </c>
    </row>
    <row r="156" spans="3:5" x14ac:dyDescent="0.25">
      <c r="C156" s="62" t="s">
        <v>189</v>
      </c>
    </row>
    <row r="157" spans="3:5" x14ac:dyDescent="0.25">
      <c r="C157" s="73" t="s">
        <v>196</v>
      </c>
    </row>
    <row r="158" spans="3:5" x14ac:dyDescent="0.25">
      <c r="C158" s="74" t="s">
        <v>190</v>
      </c>
    </row>
    <row r="159" spans="3:5" x14ac:dyDescent="0.25">
      <c r="C159" s="74"/>
    </row>
    <row r="161" spans="3:3" x14ac:dyDescent="0.25">
      <c r="C161" s="62" t="s">
        <v>192</v>
      </c>
    </row>
    <row r="162" spans="3:3" x14ac:dyDescent="0.25">
      <c r="C162" s="76" t="s">
        <v>193</v>
      </c>
    </row>
    <row r="163" spans="3:3" x14ac:dyDescent="0.25">
      <c r="C163" s="74" t="s">
        <v>194</v>
      </c>
    </row>
    <row r="164" spans="3:3" x14ac:dyDescent="0.25">
      <c r="C164" s="74" t="s">
        <v>198</v>
      </c>
    </row>
    <row r="165" spans="3:3" x14ac:dyDescent="0.25">
      <c r="C165" s="74"/>
    </row>
    <row r="166" spans="3:3" x14ac:dyDescent="0.25">
      <c r="C166" t="s">
        <v>191</v>
      </c>
    </row>
    <row r="167" spans="3:3" x14ac:dyDescent="0.25">
      <c r="C167" s="73">
        <f ca="1">RANDBETWEEN(1, 3)</f>
        <v>1</v>
      </c>
    </row>
    <row r="169" spans="3:3" x14ac:dyDescent="0.25">
      <c r="C169" s="62"/>
    </row>
    <row r="170" spans="3:3" x14ac:dyDescent="0.25">
      <c r="C170" s="73"/>
    </row>
    <row r="172" spans="3:3" x14ac:dyDescent="0.25">
      <c r="C172" s="62"/>
    </row>
    <row r="173" spans="3:3" x14ac:dyDescent="0.25">
      <c r="C173" s="73"/>
    </row>
    <row r="174" spans="3:3" x14ac:dyDescent="0.25">
      <c r="C174" s="74"/>
    </row>
    <row r="176" spans="3:3" x14ac:dyDescent="0.25">
      <c r="C176" s="62"/>
    </row>
    <row r="177" spans="3:3" x14ac:dyDescent="0.25">
      <c r="C177" s="73"/>
    </row>
  </sheetData>
  <mergeCells count="2">
    <mergeCell ref="B3:B40"/>
    <mergeCell ref="B88:B9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1A07A-DFA4-41FE-9537-F8F7DCAE89D8}">
  <sheetPr codeName="Sheet19"/>
  <dimension ref="A1:A3"/>
  <sheetViews>
    <sheetView workbookViewId="0">
      <selection activeCell="A4" sqref="A4"/>
    </sheetView>
  </sheetViews>
  <sheetFormatPr defaultRowHeight="15" x14ac:dyDescent="0.25"/>
  <cols>
    <col min="1" max="1" width="57.28515625" bestFit="1" customWidth="1"/>
  </cols>
  <sheetData>
    <row r="1" spans="1:1" x14ac:dyDescent="0.25">
      <c r="A1" t="s">
        <v>229</v>
      </c>
    </row>
    <row r="2" spans="1:1" x14ac:dyDescent="0.25">
      <c r="A2" t="s">
        <v>230</v>
      </c>
    </row>
    <row r="3" spans="1:1" x14ac:dyDescent="0.25">
      <c r="A3" t="s">
        <v>231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45A6-CB5C-4686-947F-98282916CE61}">
  <sheetPr codeName="Sheet15"/>
  <dimension ref="A1:K173"/>
  <sheetViews>
    <sheetView topLeftCell="A100" zoomScale="85" zoomScaleNormal="85" workbookViewId="0">
      <selection activeCell="C3" sqref="C3:C112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  <c r="E10" t="e" cm="1">
        <f t="array" aca="1" ref="E10" ca="1">ExportRangeAsImage(_xlfn.SHEETS("Sheet2 (14)"), Range("C3:C4"), "D:\test\", "PNG")</f>
        <v>#NAME?</v>
      </c>
    </row>
    <row r="11" spans="1:6" ht="16.5" thickBot="1" x14ac:dyDescent="0.3">
      <c r="A11" s="8"/>
      <c r="B11" s="56">
        <v>1</v>
      </c>
      <c r="C11" s="55" t="str">
        <f ca="1">_xlfn.CONCAT("masca equ ", C153)</f>
        <v>masca equ 1100110011111111b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1200</v>
      </c>
      <c r="D14" s="10"/>
    </row>
    <row r="15" spans="1:6" ht="16.5" customHeight="1" thickBot="1" x14ac:dyDescent="0.3">
      <c r="A15" s="7"/>
      <c r="B15" s="71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DB 9h</v>
      </c>
      <c r="D16" s="10"/>
      <c r="E16" s="68" t="str">
        <f ca="1">_xlfn.CONCAT("DB ", E120)</f>
        <v>DB 9h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DB 7h</v>
      </c>
      <c r="D17" s="10"/>
      <c r="E17" s="68" t="str">
        <f ca="1">_xlfn.CONCAT("DB ", E121)</f>
        <v>DB 7h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DW 0CCEh</v>
      </c>
      <c r="D18" s="10"/>
      <c r="E18" s="68" t="str">
        <f ca="1">_xlfn.CONCAT("DW ", E128)</f>
        <v>DW 0CCEh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DD 85B5C4AFh</v>
      </c>
      <c r="D19" s="10"/>
      <c r="E19" s="68" t="str">
        <f ca="1">_xlfn.CONCAT("DD ", E136)</f>
        <v>DD 85B5C4AFh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DW 5808h</v>
      </c>
      <c r="D20" s="10"/>
      <c r="E20" s="68" t="str">
        <f ca="1">_xlfn.CONCAT("DW ", E129)</f>
        <v>DW 5808h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608C3C1h</v>
      </c>
      <c r="D21" s="10"/>
      <c r="E21" s="68" t="str">
        <f ca="1">_xlfn.CONCAT("DD ", E135)</f>
        <v>DD 608C3C1h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71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71"/>
      <c r="C24" s="57"/>
      <c r="D24" s="10"/>
      <c r="F24" s="68">
        <v>3</v>
      </c>
    </row>
    <row r="25" spans="1:6" ht="17.100000000000001" customHeight="1" thickBot="1" x14ac:dyDescent="0.3">
      <c r="A25" s="7"/>
      <c r="B25" s="71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71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71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71"/>
      <c r="C28" s="57" t="s">
        <v>178</v>
      </c>
      <c r="D28" s="10"/>
    </row>
    <row r="29" spans="1:6" ht="17.100000000000001" customHeight="1" thickBot="1" x14ac:dyDescent="0.3">
      <c r="A29" s="7"/>
      <c r="B29" s="71"/>
      <c r="C29" s="57" t="s">
        <v>176</v>
      </c>
      <c r="D29" s="10"/>
    </row>
    <row r="30" spans="1:6" ht="17.100000000000001" customHeight="1" thickBot="1" x14ac:dyDescent="0.3">
      <c r="A30" s="7"/>
      <c r="B30" s="71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71"/>
      <c r="C31" s="57" t="s">
        <v>116</v>
      </c>
      <c r="D31" s="10"/>
    </row>
    <row r="32" spans="1:6" ht="17.100000000000001" customHeight="1" thickBot="1" x14ac:dyDescent="0.3">
      <c r="A32" s="7"/>
      <c r="B32" s="71"/>
      <c r="C32" s="57" t="s">
        <v>117</v>
      </c>
      <c r="D32" s="10"/>
    </row>
    <row r="33" spans="1:4" ht="17.100000000000001" customHeight="1" thickBot="1" x14ac:dyDescent="0.3">
      <c r="A33" s="7"/>
      <c r="B33" s="71"/>
      <c r="C33" s="57" t="s">
        <v>149</v>
      </c>
      <c r="D33" s="10"/>
    </row>
    <row r="34" spans="1:4" ht="17.100000000000001" customHeight="1" thickBot="1" x14ac:dyDescent="0.3">
      <c r="A34" s="7"/>
      <c r="B34" s="71"/>
      <c r="C34" s="57" t="s">
        <v>175</v>
      </c>
      <c r="D34" s="10"/>
    </row>
    <row r="35" spans="1:4" ht="17.100000000000001" customHeight="1" thickBot="1" x14ac:dyDescent="0.3">
      <c r="A35" s="7"/>
      <c r="B35" s="71"/>
      <c r="C35" s="57" t="s">
        <v>174</v>
      </c>
      <c r="D35" s="10"/>
    </row>
    <row r="36" spans="1:4" ht="17.100000000000001" customHeight="1" thickBot="1" x14ac:dyDescent="0.3">
      <c r="A36" s="7"/>
      <c r="B36" s="71"/>
      <c r="C36" s="57" t="s">
        <v>120</v>
      </c>
      <c r="D36" s="10"/>
    </row>
    <row r="37" spans="1:4" ht="17.100000000000001" customHeight="1" thickBot="1" x14ac:dyDescent="0.3">
      <c r="A37" s="7"/>
      <c r="B37" s="71"/>
      <c r="C37" s="57" t="s">
        <v>121</v>
      </c>
      <c r="D37" s="10"/>
    </row>
    <row r="38" spans="1:4" ht="17.100000000000001" customHeight="1" thickBot="1" x14ac:dyDescent="0.3">
      <c r="A38" s="7"/>
      <c r="B38" s="71"/>
      <c r="C38" s="57" t="s">
        <v>122</v>
      </c>
      <c r="D38" s="10"/>
    </row>
    <row r="39" spans="1:4" ht="17.100000000000001" customHeight="1" thickBot="1" x14ac:dyDescent="0.3">
      <c r="A39" s="7"/>
      <c r="B39" s="71"/>
      <c r="C39" s="57" t="s">
        <v>123</v>
      </c>
      <c r="D39" s="10"/>
    </row>
    <row r="40" spans="1:4" ht="17.100000000000001" customHeight="1" thickBot="1" x14ac:dyDescent="0.3">
      <c r="A40" s="7"/>
      <c r="B40" s="71"/>
      <c r="C40" s="57" t="s">
        <v>124</v>
      </c>
      <c r="D40" s="10"/>
    </row>
    <row r="41" spans="1:4" ht="17.100000000000001" customHeight="1" thickBot="1" x14ac:dyDescent="0.3">
      <c r="A41" s="7"/>
      <c r="B41" s="71"/>
      <c r="C41" s="57" t="s">
        <v>125</v>
      </c>
      <c r="D41" s="10"/>
    </row>
    <row r="42" spans="1:4" ht="17.100000000000001" customHeight="1" thickBot="1" x14ac:dyDescent="0.3">
      <c r="A42" s="7"/>
      <c r="B42" s="71"/>
      <c r="C42" s="57" t="s">
        <v>123</v>
      </c>
      <c r="D42" s="10"/>
    </row>
    <row r="43" spans="1:4" ht="17.100000000000001" customHeight="1" thickBot="1" x14ac:dyDescent="0.3">
      <c r="A43" s="7"/>
      <c r="B43" s="71"/>
      <c r="C43" s="57" t="s">
        <v>126</v>
      </c>
      <c r="D43" s="10"/>
    </row>
    <row r="44" spans="1:4" ht="17.100000000000001" customHeight="1" thickBot="1" x14ac:dyDescent="0.3">
      <c r="A44" s="7"/>
      <c r="B44" s="71"/>
      <c r="C44" s="57" t="s">
        <v>127</v>
      </c>
      <c r="D44" s="10"/>
    </row>
    <row r="45" spans="1:4" ht="17.100000000000001" customHeight="1" thickBot="1" x14ac:dyDescent="0.3">
      <c r="A45" s="7"/>
      <c r="B45" s="71"/>
      <c r="C45" s="57" t="s">
        <v>123</v>
      </c>
      <c r="D45" s="10"/>
    </row>
    <row r="46" spans="1:4" ht="17.100000000000001" customHeight="1" thickBot="1" x14ac:dyDescent="0.3">
      <c r="A46" s="7"/>
      <c r="B46" s="71"/>
      <c r="C46" s="57" t="s">
        <v>128</v>
      </c>
      <c r="D46" s="10"/>
    </row>
    <row r="47" spans="1:4" ht="17.100000000000001" customHeight="1" thickBot="1" x14ac:dyDescent="0.3">
      <c r="A47" s="7"/>
      <c r="B47" s="71"/>
      <c r="C47" s="57" t="s">
        <v>150</v>
      </c>
      <c r="D47" s="10"/>
    </row>
    <row r="48" spans="1:4" ht="17.100000000000001" customHeight="1" thickBot="1" x14ac:dyDescent="0.3">
      <c r="A48" s="7"/>
      <c r="B48" s="71"/>
      <c r="C48" s="57" t="s">
        <v>131</v>
      </c>
      <c r="D48" s="10"/>
    </row>
    <row r="49" spans="1:4" ht="17.100000000000001" customHeight="1" thickBot="1" x14ac:dyDescent="0.3">
      <c r="A49" s="7"/>
      <c r="B49" s="71"/>
      <c r="C49" s="57" t="s">
        <v>129</v>
      </c>
      <c r="D49" s="10"/>
    </row>
    <row r="50" spans="1:4" ht="17.100000000000001" customHeight="1" thickBot="1" x14ac:dyDescent="0.3">
      <c r="A50" s="7"/>
      <c r="B50" s="71"/>
      <c r="C50" s="57" t="s">
        <v>130</v>
      </c>
      <c r="D50" s="10"/>
    </row>
    <row r="51" spans="1:4" ht="17.100000000000001" customHeight="1" thickBot="1" x14ac:dyDescent="0.3">
      <c r="A51" s="7"/>
      <c r="B51" s="71"/>
      <c r="C51" s="57"/>
      <c r="D51" s="10"/>
    </row>
    <row r="52" spans="1:4" ht="17.100000000000001" customHeight="1" thickBot="1" x14ac:dyDescent="0.3">
      <c r="A52" s="7"/>
      <c r="B52" s="71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71"/>
      <c r="C53" s="57" t="s">
        <v>161</v>
      </c>
      <c r="D53" s="10"/>
    </row>
    <row r="54" spans="1:4" ht="17.100000000000001" customHeight="1" thickBot="1" x14ac:dyDescent="0.3">
      <c r="A54" s="7"/>
      <c r="B54" s="71"/>
      <c r="C54" s="57" t="s">
        <v>163</v>
      </c>
      <c r="D54" s="10"/>
    </row>
    <row r="55" spans="1:4" ht="17.100000000000001" customHeight="1" thickBot="1" x14ac:dyDescent="0.3">
      <c r="A55" s="7"/>
      <c r="B55" s="71"/>
      <c r="C55" s="57" t="s">
        <v>162</v>
      </c>
      <c r="D55" s="10"/>
    </row>
    <row r="56" spans="1:4" ht="17.100000000000001" customHeight="1" thickBot="1" x14ac:dyDescent="0.3">
      <c r="A56" s="7"/>
      <c r="B56" s="71"/>
      <c r="C56" s="57"/>
      <c r="D56" s="10"/>
    </row>
    <row r="57" spans="1:4" ht="17.100000000000001" customHeight="1" thickBot="1" x14ac:dyDescent="0.3">
      <c r="A57" s="7"/>
      <c r="B57" s="71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71"/>
      <c r="C61" s="57" t="s">
        <v>52</v>
      </c>
      <c r="D61" s="10"/>
    </row>
    <row r="62" spans="1:4" ht="17.100000000000001" customHeight="1" thickBot="1" x14ac:dyDescent="0.3">
      <c r="A62" s="7"/>
      <c r="B62" s="71">
        <v>4</v>
      </c>
      <c r="C62" s="57" t="s">
        <v>132</v>
      </c>
      <c r="D62" s="10"/>
    </row>
    <row r="63" spans="1:4" ht="17.100000000000001" customHeight="1" thickBot="1" x14ac:dyDescent="0.3">
      <c r="A63" s="7"/>
      <c r="B63" s="71">
        <v>5</v>
      </c>
      <c r="C63" s="57" t="str">
        <f ca="1">_xlfn.CONCAT("  mov AX, ", E133)</f>
        <v xml:space="preserve">  mov AX, 41D4h</v>
      </c>
      <c r="D63" s="10"/>
    </row>
    <row r="64" spans="1:4" ht="17.100000000000001" customHeight="1" thickBot="1" x14ac:dyDescent="0.3">
      <c r="A64" s="7"/>
      <c r="B64" s="71">
        <v>6</v>
      </c>
      <c r="C64" s="57" t="s">
        <v>71</v>
      </c>
      <c r="D64" s="10"/>
    </row>
    <row r="65" spans="1:4" ht="17.100000000000001" customHeight="1" thickBot="1" x14ac:dyDescent="0.3">
      <c r="A65" s="7"/>
      <c r="B65" s="71">
        <v>7</v>
      </c>
      <c r="C65" s="57" t="s">
        <v>72</v>
      </c>
      <c r="D65" s="10"/>
    </row>
    <row r="66" spans="1:4" ht="17.100000000000001" customHeight="1" thickBot="1" x14ac:dyDescent="0.3">
      <c r="A66" s="7"/>
      <c r="B66" s="71">
        <v>8</v>
      </c>
      <c r="C66" s="57" t="s">
        <v>72</v>
      </c>
      <c r="D66" s="10"/>
    </row>
    <row r="67" spans="1:4" ht="17.100000000000001" customHeight="1" thickBot="1" x14ac:dyDescent="0.3">
      <c r="A67" s="7"/>
      <c r="B67" s="71">
        <v>9</v>
      </c>
      <c r="C67" s="57" t="s">
        <v>73</v>
      </c>
      <c r="D67" s="10"/>
    </row>
    <row r="68" spans="1:4" ht="17.100000000000001" customHeight="1" thickBot="1" x14ac:dyDescent="0.3">
      <c r="A68" s="7"/>
      <c r="B68" s="71">
        <v>10</v>
      </c>
      <c r="C68" s="57" t="str">
        <f ca="1">_xlfn.CONCAT("  MOV DL, BYTE PTR var", RANDBETWEEN(1, 5) )</f>
        <v xml:space="preserve">  MOV DL, BYTE PTR var4</v>
      </c>
      <c r="D68" s="10"/>
    </row>
    <row r="69" spans="1:4" ht="17.100000000000001" customHeight="1" thickBot="1" x14ac:dyDescent="0.3">
      <c r="A69" s="7"/>
      <c r="B69" s="71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71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71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71">
        <v>14</v>
      </c>
      <c r="C72" s="57" t="str">
        <f ca="1">_xlfn.CONCAT( "  MOV CL, ", RANDBETWEEN(1, 3) )</f>
        <v xml:space="preserve">  MOV CL, 2</v>
      </c>
      <c r="D72" s="10"/>
    </row>
    <row r="73" spans="1:4" ht="17.100000000000001" customHeight="1" thickBot="1" x14ac:dyDescent="0.3">
      <c r="A73" s="7"/>
      <c r="B73" s="71">
        <v>15</v>
      </c>
      <c r="C73" s="57" t="str">
        <f ca="1">_xlfn.CONCAT("  ",C162," DX, CL")</f>
        <v xml:space="preserve">  ROL DX, CL</v>
      </c>
      <c r="D73" s="10"/>
    </row>
    <row r="74" spans="1:4" ht="17.100000000000001" customHeight="1" thickBot="1" x14ac:dyDescent="0.3">
      <c r="A74" s="7"/>
      <c r="B74" s="71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71">
        <v>17</v>
      </c>
      <c r="C75" s="57" t="s">
        <v>27</v>
      </c>
      <c r="D75" s="10"/>
    </row>
    <row r="76" spans="1:4" ht="17.100000000000001" customHeight="1" thickBot="1" x14ac:dyDescent="0.3">
      <c r="A76" s="7"/>
      <c r="B76" s="71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71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71"/>
      <c r="C78" s="57" t="s">
        <v>141</v>
      </c>
      <c r="D78" s="10"/>
    </row>
    <row r="79" spans="1:4" ht="17.100000000000001" customHeight="1" thickBot="1" x14ac:dyDescent="0.3">
      <c r="A79" s="7"/>
      <c r="B79" s="71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71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71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71"/>
      <c r="C82" s="57" t="s">
        <v>165</v>
      </c>
      <c r="D82" s="10"/>
    </row>
    <row r="83" spans="1:7" ht="17.100000000000001" customHeight="1" thickBot="1" x14ac:dyDescent="0.3">
      <c r="A83" s="7"/>
      <c r="B83" s="71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71"/>
      <c r="C84" s="57" t="str">
        <f ca="1">_xlfn.CONCAT("  MOV BX, ", (RANDBETWEEN(0, 3) * 4) )</f>
        <v xml:space="preserve">  MOV BX, 4</v>
      </c>
      <c r="D84" s="10"/>
    </row>
    <row r="85" spans="1:7" ht="17.100000000000001" customHeight="1" thickBot="1" x14ac:dyDescent="0.3">
      <c r="A85" s="7"/>
      <c r="B85" s="71"/>
      <c r="C85" s="57" t="s">
        <v>142</v>
      </c>
      <c r="D85" s="10"/>
    </row>
    <row r="86" spans="1:7" ht="17.100000000000001" customHeight="1" thickBot="1" x14ac:dyDescent="0.3">
      <c r="A86" s="7"/>
      <c r="B86" s="71"/>
      <c r="C86" s="57" t="str">
        <f ca="1">IF(E86="  MOV CX, WORD PTR ES:[DI + 0]", "  MOV CX, WORD PTR ES:[DI]", E86)</f>
        <v xml:space="preserve">  MOV CX, WORD PTR ES:[DI]</v>
      </c>
      <c r="D86" s="10"/>
      <c r="E86" s="62" t="str">
        <f ca="1">_xlfn.CONCAT("  MOV CX, WORD PTR ES:[DI + ", RANDBETWEEN(0, 3), "]")</f>
        <v xml:space="preserve">  MOV CX, WORD PTR ES:[DI + 0]</v>
      </c>
      <c r="F86" s="62"/>
      <c r="G86" s="62"/>
    </row>
    <row r="87" spans="1:7" ht="17.100000000000001" customHeight="1" thickBot="1" x14ac:dyDescent="0.3">
      <c r="A87" s="7"/>
      <c r="B87" s="71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71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71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71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71"/>
      <c r="C91" s="57" t="str">
        <f ca="1">IF(E91="  MOV CX, WORD PTR ES:[DI + 0]", "  MOV CX, WORD PTR ES:[DI]", E91)</f>
        <v xml:space="preserve">  MOV CX, WORD PTR ES:[DI]</v>
      </c>
      <c r="D91" s="10"/>
      <c r="E91" s="62" t="str">
        <f ca="1">_xlfn.CONCAT("  MOV CX, WORD PTR ES:[DI + ", RANDBETWEEN(0, 3), "]")</f>
        <v xml:space="preserve">  MOV CX, WORD PTR ES:[DI + 0]</v>
      </c>
      <c r="F91" s="62"/>
      <c r="G91" s="62"/>
    </row>
    <row r="92" spans="1:7" ht="17.100000000000001" customHeight="1" thickBot="1" x14ac:dyDescent="0.3">
      <c r="A92" s="9"/>
      <c r="B92" s="72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72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72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72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72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72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72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72"/>
      <c r="C99" s="57" t="str">
        <f ca="1">_xlfn.CONCAT(E99, E122)</f>
        <v xml:space="preserve">  MOV BYTE PTR [BP + 1], 0D4h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72"/>
      <c r="C100" s="57" t="str">
        <f ca="1">_xlfn.CONCAT("  MOV WORD PTR [BP - ", ABS(G100),"], ", E130)</f>
        <v xml:space="preserve">  MOV WORD PTR [BP - 1], 2A73h</v>
      </c>
      <c r="D100" s="10"/>
      <c r="E100" s="64" t="str">
        <f ca="1">_xlfn.CONCAT("  MOV WORD PTR [BP - ", G100,"], ")</f>
        <v xml:space="preserve">  MOV WORD PTR [BP - -1],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randNrBetweenWithException(-3, -1, -2)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72"/>
      <c r="C101" s="57" t="str">
        <f ca="1">_xlfn.CONCAT(E101, E131)</f>
        <v xml:space="preserve">  MOV WORD PTR [BP - 3], 5607h</v>
      </c>
      <c r="D101" s="10"/>
      <c r="E101" s="64" t="str">
        <f ca="1">IF(F101=E100, REPLACE(F101, 22, 1, "2"), F101)</f>
        <v xml:space="preserve">  MOV WORD PTR [BP - 3],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- 3], </v>
      </c>
      <c r="G101" s="63" cm="1">
        <f t="array" aca="1" ref="G101" ca="1">randNrBetweenWithException(-6, 2, G99, G100)</f>
        <v>-3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72"/>
      <c r="C102" s="57" t="str">
        <f ca="1">_xlfn.CONCAT(F102, E123)</f>
        <v xml:space="preserve">  MOV BYTE PTR [BP - 4], 0DCh</v>
      </c>
      <c r="D102" s="10"/>
      <c r="E102" s="64" t="str">
        <f ca="1">IF(F102 = E99, REPLACE(F102, 22, 1, "2"), F102)</f>
        <v xml:space="preserve">  MOV BYTE PTR [BP - 4],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- 4], </v>
      </c>
      <c r="G102" s="62" cm="1">
        <f t="array" aca="1" ref="G102" ca="1">randNrBetweenWithException(-7, 3, G99, G100, G101)</f>
        <v>-4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72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72"/>
      <c r="C104" s="57" t="s">
        <v>181</v>
      </c>
      <c r="D104" s="10"/>
    </row>
    <row r="105" spans="1:11" ht="17.100000000000001" customHeight="1" thickBot="1" x14ac:dyDescent="0.3">
      <c r="A105" s="9"/>
      <c r="B105" s="72"/>
      <c r="C105" s="57" t="s">
        <v>169</v>
      </c>
      <c r="D105" s="10"/>
    </row>
    <row r="106" spans="1:11" ht="17.100000000000001" customHeight="1" thickBot="1" x14ac:dyDescent="0.3">
      <c r="A106" s="9"/>
      <c r="B106" s="72"/>
      <c r="C106" s="57" t="s">
        <v>170</v>
      </c>
      <c r="D106" s="10"/>
    </row>
    <row r="107" spans="1:11" ht="17.100000000000001" customHeight="1" thickBot="1" x14ac:dyDescent="0.3">
      <c r="A107" s="9"/>
      <c r="B107" s="72"/>
      <c r="C107" s="57" t="s">
        <v>36</v>
      </c>
      <c r="D107" s="10"/>
    </row>
    <row r="108" spans="1:11" ht="17.100000000000001" customHeight="1" thickBot="1" x14ac:dyDescent="0.3">
      <c r="A108" s="9"/>
      <c r="B108" s="72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71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63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3Fh</v>
      </c>
    </row>
    <row r="119" spans="1:5" x14ac:dyDescent="0.25">
      <c r="C119" s="39" t="s">
        <v>103</v>
      </c>
    </row>
    <row r="120" spans="1:5" x14ac:dyDescent="0.25">
      <c r="C120">
        <f ca="1">RANDBETWEEN(1,255)</f>
        <v>9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9h</v>
      </c>
    </row>
    <row r="121" spans="1:5" x14ac:dyDescent="0.25">
      <c r="C121">
        <f ca="1">RANDBETWEEN(1,255)</f>
        <v>7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7h</v>
      </c>
    </row>
    <row r="122" spans="1:5" x14ac:dyDescent="0.25">
      <c r="C122">
        <f ca="1">RANDBETWEEN(1,255)</f>
        <v>212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0D4h</v>
      </c>
    </row>
    <row r="123" spans="1:5" x14ac:dyDescent="0.25">
      <c r="C123">
        <f ca="1">RANDBETWEEN(1,255)</f>
        <v>220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0DCh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28640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6FE0h</v>
      </c>
    </row>
    <row r="126" spans="1:5" x14ac:dyDescent="0.25">
      <c r="C126">
        <f ca="1">RANDBETWEEN(0, 65535)</f>
        <v>54474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0D4CAh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3278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0CCEh</v>
      </c>
    </row>
    <row r="129" spans="3:5" x14ac:dyDescent="0.25">
      <c r="C129">
        <f ca="1">RANDBETWEEN(256, 65535)</f>
        <v>22536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5808h</v>
      </c>
    </row>
    <row r="130" spans="3:5" x14ac:dyDescent="0.25">
      <c r="C130">
        <f ca="1">RANDBETWEEN(256, 65535)</f>
        <v>10867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2A73h</v>
      </c>
    </row>
    <row r="131" spans="3:5" x14ac:dyDescent="0.25">
      <c r="C131">
        <f ca="1">RANDBETWEEN(256, 65535)</f>
        <v>22023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5607h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16852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41D4h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101237697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608C3C1h</v>
      </c>
    </row>
    <row r="136" spans="3:5" x14ac:dyDescent="0.25">
      <c r="C136">
        <f ca="1">RANDBETWEEN(65536, 4294967295)</f>
        <v>2243282095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85B5C4AFh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1200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4B0h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1200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1100110011111111b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ECF1C-7BAA-4AE6-BFB9-5790A3B632F7}">
  <sheetPr codeName="Sheet14"/>
  <dimension ref="A1:K173"/>
  <sheetViews>
    <sheetView zoomScale="85" zoomScaleNormal="85" workbookViewId="0">
      <selection activeCell="E11" sqref="E11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_ip dw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1001100110011001b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390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DD 5A8EB3B8h</v>
      </c>
      <c r="D16" s="10"/>
      <c r="E16" s="68" t="str">
        <f ca="1">_xlfn.CONCAT("DD ", E136)</f>
        <v>DD 5A8EB3B8h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0C66Ch</v>
      </c>
      <c r="D17" s="10"/>
      <c r="E17" s="68" t="str">
        <f ca="1">_xlfn.CONCAT("DW ", E128)</f>
        <v>DW 0C66Ch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0E7h</v>
      </c>
      <c r="D18" s="10"/>
      <c r="E18" s="68" t="str">
        <f ca="1">_xlfn.CONCAT("DB ", E121)</f>
        <v>DB 0E7h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DW 10D5h</v>
      </c>
      <c r="D19" s="10"/>
      <c r="E19" s="68" t="str">
        <f ca="1">_xlfn.CONCAT("DW ", E129)</f>
        <v>DW 10D5h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DB 36h</v>
      </c>
      <c r="D20" s="10"/>
      <c r="E20" s="68" t="str">
        <f ca="1">_xlfn.CONCAT("DB ", E120)</f>
        <v>DB 36h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762525FAh</v>
      </c>
      <c r="D21" s="10"/>
      <c r="E21" s="68" t="str">
        <f ca="1">_xlfn.CONCAT("DD ", E135)</f>
        <v>DD 762525FAh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near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far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4417h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var1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2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ROL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12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+ 3]</v>
      </c>
      <c r="D86" s="10"/>
      <c r="E86" s="62" t="str">
        <f ca="1">_xlfn.CONCAT("  MOV CX, WORD PTR ES:[DI + ", RANDBETWEEN(0, 3), "]")</f>
        <v xml:space="preserve">  MOV CX, WORD PTR ES:[DI + 3]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8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 + 2]</v>
      </c>
      <c r="D91" s="10"/>
      <c r="E91" s="62" t="str">
        <f ca="1">_xlfn.CONCAT("  MOV CX, WORD PTR ES:[DI + ", RANDBETWEEN(0, 3), "]")</f>
        <v xml:space="preserve">  MOV CX, WORD PTR ES:[DI + 2]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5Dh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- 3], 4527h</v>
      </c>
      <c r="D100" s="10"/>
      <c r="E100" s="64" t="str">
        <f ca="1">_xlfn.CONCAT("  MOV WORD PTR [BP - ", G100,"], ")</f>
        <v xml:space="preserve">  MOV WORD PTR [BP - -3],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randNrBetweenWithException(-3, -1, -2)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- 2], 765Eh</v>
      </c>
      <c r="D101" s="10"/>
      <c r="E101" s="64" t="str">
        <f ca="1">IF(F101=E100, REPLACE(F101, 22, 1, "2"), F101)</f>
        <v xml:space="preserve">  MOV WORD PTR [BP - 2],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- 2], </v>
      </c>
      <c r="G101" s="63" cm="1">
        <f t="array" aca="1" ref="G101" ca="1">randNrBetweenWithException(-6, 2, G99, G100)</f>
        <v>-2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- 4], 0AEh</v>
      </c>
      <c r="D102" s="10"/>
      <c r="E102" s="64" t="str">
        <f ca="1">IF(F102 = E99, REPLACE(F102, 22, 1, "2"), F102)</f>
        <v xml:space="preserve">  MOV BYTE PTR [BP - 4],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- 4], </v>
      </c>
      <c r="G102" s="62" cm="1">
        <f t="array" aca="1" ref="G102" ca="1">randNrBetweenWithException(-7, 3, G99, G100, G101)</f>
        <v>-4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208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0D0h</v>
      </c>
    </row>
    <row r="119" spans="1:5" x14ac:dyDescent="0.25">
      <c r="C119" s="39" t="s">
        <v>103</v>
      </c>
    </row>
    <row r="120" spans="1:5" x14ac:dyDescent="0.25">
      <c r="C120">
        <f ca="1">RANDBETWEEN(1,255)</f>
        <v>54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36h</v>
      </c>
    </row>
    <row r="121" spans="1:5" x14ac:dyDescent="0.25">
      <c r="C121">
        <f ca="1">RANDBETWEEN(1,255)</f>
        <v>231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0E7h</v>
      </c>
    </row>
    <row r="122" spans="1:5" x14ac:dyDescent="0.25">
      <c r="C122">
        <f ca="1">RANDBETWEEN(1,255)</f>
        <v>93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5Dh</v>
      </c>
    </row>
    <row r="123" spans="1:5" x14ac:dyDescent="0.25">
      <c r="C123">
        <f ca="1">RANDBETWEEN(1,255)</f>
        <v>174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0AEh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25020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61BCh</v>
      </c>
    </row>
    <row r="126" spans="1:5" x14ac:dyDescent="0.25">
      <c r="C126">
        <f ca="1">RANDBETWEEN(0, 65535)</f>
        <v>43738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0AADAh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50796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0C66Ch</v>
      </c>
    </row>
    <row r="129" spans="3:5" x14ac:dyDescent="0.25">
      <c r="C129">
        <f ca="1">RANDBETWEEN(256, 65535)</f>
        <v>4309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10D5h</v>
      </c>
    </row>
    <row r="130" spans="3:5" x14ac:dyDescent="0.25">
      <c r="C130">
        <f ca="1">RANDBETWEEN(256, 65535)</f>
        <v>17703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4527h</v>
      </c>
    </row>
    <row r="131" spans="3:5" x14ac:dyDescent="0.25">
      <c r="C131">
        <f ca="1">RANDBETWEEN(256, 65535)</f>
        <v>30302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765Eh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17431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4417h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1982146042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762525FAh</v>
      </c>
    </row>
    <row r="136" spans="3:5" x14ac:dyDescent="0.25">
      <c r="C136">
        <f ca="1">RANDBETWEEN(65536, 4294967295)</f>
        <v>1519301560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5A8EB3B8h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396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18Ch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390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1001100110011001b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ROL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near</v>
      </c>
    </row>
    <row r="173" spans="3:3" x14ac:dyDescent="0.25">
      <c r="C173" t="str" cm="1">
        <f t="array" aca="1" ref="C173" ca="1">INDEX($C$168:$C$169, RANDBETWEEN(1, COUNTA($C$168:$C$169)), 1)</f>
        <v>far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41810-3866-465E-8B3F-B2DACC762F1F}">
  <sheetPr codeName="Sheet13"/>
  <dimension ref="A1:K173"/>
  <sheetViews>
    <sheetView zoomScale="85" zoomScaleNormal="85" workbookViewId="0">
      <selection activeCell="E23" sqref="E2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70"/>
      <c r="B3" s="69"/>
      <c r="C3" s="57" t="s">
        <v>38</v>
      </c>
      <c r="D3" s="10"/>
    </row>
    <row r="4" spans="1:6" ht="16.5" thickBot="1" x14ac:dyDescent="0.3">
      <c r="A4" s="70"/>
      <c r="B4" s="69"/>
      <c r="C4" s="57" t="s">
        <v>40</v>
      </c>
      <c r="D4" s="10"/>
    </row>
    <row r="5" spans="1:6" ht="16.5" thickBot="1" x14ac:dyDescent="0.3">
      <c r="A5" s="70"/>
      <c r="B5" s="69"/>
      <c r="C5" s="57" t="str">
        <f ca="1">IF(C172="near",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C153)</f>
        <v>masca equ 1001100110011001b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C140)</f>
        <v>.stack 1590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DB 25h</v>
      </c>
      <c r="D16" s="10"/>
      <c r="E16" s="68" t="str">
        <f ca="1">_xlfn.CONCAT("DB ", E120)</f>
        <v>DB 25h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2D33h</v>
      </c>
      <c r="D17" s="10"/>
      <c r="E17" s="68" t="str">
        <f ca="1">_xlfn.CONCAT("DW ", E128)</f>
        <v>DW 2D33h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8Bh</v>
      </c>
      <c r="D18" s="10"/>
      <c r="E18" s="68" t="str">
        <f ca="1">_xlfn.CONCAT("DB ", E121)</f>
        <v>DB 8Bh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DW 0D3BEh</v>
      </c>
      <c r="D19" s="10"/>
      <c r="E19" s="68" t="str">
        <f ca="1">_xlfn.CONCAT("DW ", E129)</f>
        <v>DW 0D3BEh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DD 0FDE502F4h</v>
      </c>
      <c r="D20" s="10"/>
      <c r="E20" s="68" t="str">
        <f ca="1">_xlfn.CONCAT("DD ", E136)</f>
        <v>DD 0FDE502F4h</v>
      </c>
      <c r="F20" s="67"/>
    </row>
    <row r="21" spans="1:6" ht="17.100000000000001" customHeight="1" thickBot="1" x14ac:dyDescent="0.3">
      <c r="A21" s="7"/>
      <c r="B21" s="104"/>
      <c r="C21" s="57" t="str">
        <f ca="1">_xlfn.CONCAT("  var6 ", E21)</f>
        <v xml:space="preserve">  var6 DD 0A8003401h</v>
      </c>
      <c r="D21" s="10"/>
      <c r="E21" s="68" t="str">
        <f ca="1">_xlfn.CONCAT("DD ", E135)</f>
        <v>DD 0A8003401h</v>
      </c>
      <c r="F21" s="67"/>
    </row>
    <row r="22" spans="1:6" ht="17.100000000000001" customHeight="1" thickBot="1" x14ac:dyDescent="0.3">
      <c r="A22" s="7"/>
      <c r="B22" s="104"/>
      <c r="C22" s="57" t="s">
        <v>186</v>
      </c>
      <c r="D22" s="10"/>
    </row>
    <row r="23" spans="1:6" ht="17.100000000000001" customHeight="1" thickBot="1" x14ac:dyDescent="0.3">
      <c r="A23" s="7"/>
      <c r="B23" s="65"/>
      <c r="C23" s="57" t="s">
        <v>21</v>
      </c>
      <c r="D23" s="10"/>
      <c r="F23" s="68">
        <v>4</v>
      </c>
    </row>
    <row r="24" spans="1:6" ht="17.100000000000001" customHeight="1" thickBot="1" x14ac:dyDescent="0.3">
      <c r="A24" s="7"/>
      <c r="B24" s="65"/>
      <c r="C24" s="57"/>
      <c r="D24" s="10"/>
      <c r="F24" s="68">
        <v>3</v>
      </c>
    </row>
    <row r="25" spans="1:6" ht="17.100000000000001" customHeight="1" thickBot="1" x14ac:dyDescent="0.3">
      <c r="A25" s="7"/>
      <c r="B25" s="65"/>
      <c r="C25" s="57" t="s">
        <v>171</v>
      </c>
      <c r="D25" s="10"/>
      <c r="F25" s="68">
        <v>1</v>
      </c>
    </row>
    <row r="26" spans="1:6" ht="17.100000000000001" customHeight="1" thickBot="1" x14ac:dyDescent="0.3">
      <c r="A26" s="7"/>
      <c r="B26" s="65"/>
      <c r="C26" s="57" t="s">
        <v>179</v>
      </c>
      <c r="D26" s="10"/>
      <c r="F26" s="68">
        <v>2</v>
      </c>
    </row>
    <row r="27" spans="1:6" ht="17.100000000000001" customHeight="1" thickBot="1" x14ac:dyDescent="0.3">
      <c r="A27" s="7"/>
      <c r="B27" s="65"/>
      <c r="C27" s="57" t="s">
        <v>177</v>
      </c>
      <c r="D27" s="10"/>
      <c r="F27" s="68">
        <v>5</v>
      </c>
    </row>
    <row r="28" spans="1:6" ht="17.100000000000001" customHeight="1" thickBot="1" x14ac:dyDescent="0.3">
      <c r="A28" s="7"/>
      <c r="B28" s="65"/>
      <c r="C28" s="57" t="s">
        <v>178</v>
      </c>
      <c r="D28" s="10"/>
    </row>
    <row r="29" spans="1:6" ht="17.100000000000001" customHeight="1" thickBot="1" x14ac:dyDescent="0.3">
      <c r="A29" s="7"/>
      <c r="B29" s="65"/>
      <c r="C29" s="57" t="s">
        <v>176</v>
      </c>
      <c r="D29" s="10"/>
    </row>
    <row r="30" spans="1:6" ht="17.100000000000001" customHeight="1" thickBot="1" x14ac:dyDescent="0.3">
      <c r="A30" s="7"/>
      <c r="B30" s="65"/>
      <c r="C30" s="57" t="str">
        <f ca="1">_xlfn.CONCAT("proc compNr ", C172)</f>
        <v>proc compNr far</v>
      </c>
      <c r="D30" s="10"/>
    </row>
    <row r="31" spans="1:6" ht="17.100000000000001" customHeight="1" thickBot="1" x14ac:dyDescent="0.3">
      <c r="A31" s="7"/>
      <c r="B31" s="65"/>
      <c r="C31" s="57" t="s">
        <v>116</v>
      </c>
      <c r="D31" s="10"/>
    </row>
    <row r="32" spans="1:6" ht="17.100000000000001" customHeight="1" thickBot="1" x14ac:dyDescent="0.3">
      <c r="A32" s="7"/>
      <c r="B32" s="65"/>
      <c r="C32" s="57" t="s">
        <v>117</v>
      </c>
      <c r="D32" s="10"/>
    </row>
    <row r="33" spans="1:4" ht="17.100000000000001" customHeight="1" thickBot="1" x14ac:dyDescent="0.3">
      <c r="A33" s="7"/>
      <c r="B33" s="65"/>
      <c r="C33" s="57" t="s">
        <v>149</v>
      </c>
      <c r="D33" s="10"/>
    </row>
    <row r="34" spans="1:4" ht="17.100000000000001" customHeight="1" thickBot="1" x14ac:dyDescent="0.3">
      <c r="A34" s="7"/>
      <c r="B34" s="65"/>
      <c r="C34" s="57" t="s">
        <v>175</v>
      </c>
      <c r="D34" s="10"/>
    </row>
    <row r="35" spans="1:4" ht="17.100000000000001" customHeight="1" thickBot="1" x14ac:dyDescent="0.3">
      <c r="A35" s="7"/>
      <c r="B35" s="65"/>
      <c r="C35" s="57" t="s">
        <v>174</v>
      </c>
      <c r="D35" s="10"/>
    </row>
    <row r="36" spans="1:4" ht="17.100000000000001" customHeight="1" thickBot="1" x14ac:dyDescent="0.3">
      <c r="A36" s="7"/>
      <c r="B36" s="65"/>
      <c r="C36" s="57" t="s">
        <v>120</v>
      </c>
      <c r="D36" s="10"/>
    </row>
    <row r="37" spans="1:4" ht="17.100000000000001" customHeight="1" thickBot="1" x14ac:dyDescent="0.3">
      <c r="A37" s="7"/>
      <c r="B37" s="65"/>
      <c r="C37" s="57" t="s">
        <v>121</v>
      </c>
      <c r="D37" s="10"/>
    </row>
    <row r="38" spans="1:4" ht="17.100000000000001" customHeight="1" thickBot="1" x14ac:dyDescent="0.3">
      <c r="A38" s="7"/>
      <c r="B38" s="65"/>
      <c r="C38" s="57" t="s">
        <v>122</v>
      </c>
      <c r="D38" s="10"/>
    </row>
    <row r="39" spans="1:4" ht="17.100000000000001" customHeight="1" thickBot="1" x14ac:dyDescent="0.3">
      <c r="A39" s="7"/>
      <c r="B39" s="65"/>
      <c r="C39" s="57" t="s">
        <v>123</v>
      </c>
      <c r="D39" s="10"/>
    </row>
    <row r="40" spans="1:4" ht="17.100000000000001" customHeight="1" thickBot="1" x14ac:dyDescent="0.3">
      <c r="A40" s="7"/>
      <c r="B40" s="65"/>
      <c r="C40" s="57" t="s">
        <v>124</v>
      </c>
      <c r="D40" s="10"/>
    </row>
    <row r="41" spans="1:4" ht="17.100000000000001" customHeight="1" thickBot="1" x14ac:dyDescent="0.3">
      <c r="A41" s="7"/>
      <c r="B41" s="65"/>
      <c r="C41" s="57" t="s">
        <v>125</v>
      </c>
      <c r="D41" s="10"/>
    </row>
    <row r="42" spans="1:4" ht="17.100000000000001" customHeight="1" thickBot="1" x14ac:dyDescent="0.3">
      <c r="A42" s="7"/>
      <c r="B42" s="65"/>
      <c r="C42" s="57" t="s">
        <v>123</v>
      </c>
      <c r="D42" s="10"/>
    </row>
    <row r="43" spans="1:4" ht="17.100000000000001" customHeight="1" thickBot="1" x14ac:dyDescent="0.3">
      <c r="A43" s="7"/>
      <c r="B43" s="65"/>
      <c r="C43" s="57" t="s">
        <v>126</v>
      </c>
      <c r="D43" s="10"/>
    </row>
    <row r="44" spans="1:4" ht="17.100000000000001" customHeight="1" thickBot="1" x14ac:dyDescent="0.3">
      <c r="A44" s="7"/>
      <c r="B44" s="65"/>
      <c r="C44" s="57" t="s">
        <v>127</v>
      </c>
      <c r="D44" s="10"/>
    </row>
    <row r="45" spans="1:4" ht="17.100000000000001" customHeight="1" thickBot="1" x14ac:dyDescent="0.3">
      <c r="A45" s="7"/>
      <c r="B45" s="65"/>
      <c r="C45" s="57" t="s">
        <v>123</v>
      </c>
      <c r="D45" s="10"/>
    </row>
    <row r="46" spans="1:4" ht="17.100000000000001" customHeight="1" thickBot="1" x14ac:dyDescent="0.3">
      <c r="A46" s="7"/>
      <c r="B46" s="65"/>
      <c r="C46" s="57" t="s">
        <v>128</v>
      </c>
      <c r="D46" s="10"/>
    </row>
    <row r="47" spans="1:4" ht="17.100000000000001" customHeight="1" thickBot="1" x14ac:dyDescent="0.3">
      <c r="A47" s="7"/>
      <c r="B47" s="65"/>
      <c r="C47" s="57" t="s">
        <v>150</v>
      </c>
      <c r="D47" s="10"/>
    </row>
    <row r="48" spans="1:4" ht="17.100000000000001" customHeight="1" thickBot="1" x14ac:dyDescent="0.3">
      <c r="A48" s="7"/>
      <c r="B48" s="65"/>
      <c r="C48" s="57" t="s">
        <v>131</v>
      </c>
      <c r="D48" s="10"/>
    </row>
    <row r="49" spans="1:4" ht="17.100000000000001" customHeight="1" thickBot="1" x14ac:dyDescent="0.3">
      <c r="A49" s="7"/>
      <c r="B49" s="65"/>
      <c r="C49" s="57" t="s">
        <v>129</v>
      </c>
      <c r="D49" s="10"/>
    </row>
    <row r="50" spans="1:4" ht="17.100000000000001" customHeight="1" thickBot="1" x14ac:dyDescent="0.3">
      <c r="A50" s="7"/>
      <c r="B50" s="65"/>
      <c r="C50" s="57" t="s">
        <v>130</v>
      </c>
      <c r="D50" s="10"/>
    </row>
    <row r="51" spans="1:4" ht="17.100000000000001" customHeight="1" thickBot="1" x14ac:dyDescent="0.3">
      <c r="A51" s="7"/>
      <c r="B51" s="65"/>
      <c r="C51" s="57"/>
      <c r="D51" s="10"/>
    </row>
    <row r="52" spans="1:4" ht="17.100000000000001" customHeight="1" thickBot="1" x14ac:dyDescent="0.3">
      <c r="A52" s="7"/>
      <c r="B52" s="65"/>
      <c r="C52" s="57" t="str">
        <f ca="1">_xlfn.CONCAT("proc nuFaceNimic ", C173)</f>
        <v>proc nuFaceNimic near</v>
      </c>
      <c r="D52" s="10"/>
    </row>
    <row r="53" spans="1:4" ht="17.100000000000001" customHeight="1" thickBot="1" x14ac:dyDescent="0.3">
      <c r="A53" s="7"/>
      <c r="B53" s="65"/>
      <c r="C53" s="57" t="s">
        <v>161</v>
      </c>
      <c r="D53" s="10"/>
    </row>
    <row r="54" spans="1:4" ht="17.100000000000001" customHeight="1" thickBot="1" x14ac:dyDescent="0.3">
      <c r="A54" s="7"/>
      <c r="B54" s="65"/>
      <c r="C54" s="57" t="s">
        <v>163</v>
      </c>
      <c r="D54" s="10"/>
    </row>
    <row r="55" spans="1:4" ht="17.100000000000001" customHeight="1" thickBot="1" x14ac:dyDescent="0.3">
      <c r="A55" s="7"/>
      <c r="B55" s="65"/>
      <c r="C55" s="57" t="s">
        <v>162</v>
      </c>
      <c r="D55" s="10"/>
    </row>
    <row r="56" spans="1:4" ht="17.100000000000001" customHeight="1" thickBot="1" x14ac:dyDescent="0.3">
      <c r="A56" s="7"/>
      <c r="B56" s="65"/>
      <c r="C56" s="57"/>
      <c r="D56" s="10"/>
    </row>
    <row r="57" spans="1:4" ht="17.100000000000001" customHeight="1" thickBot="1" x14ac:dyDescent="0.3">
      <c r="A57" s="7"/>
      <c r="B57" s="65"/>
      <c r="C57" s="57" t="s">
        <v>22</v>
      </c>
      <c r="D57" s="10"/>
    </row>
    <row r="58" spans="1:4" ht="17.100000000000001" customHeight="1" thickBot="1" x14ac:dyDescent="0.3">
      <c r="A58" s="7"/>
      <c r="B58" s="101">
        <v>3</v>
      </c>
      <c r="C58" s="57" t="s">
        <v>51</v>
      </c>
      <c r="D58" s="10"/>
    </row>
    <row r="59" spans="1:4" ht="17.100000000000001" customHeight="1" thickBot="1" x14ac:dyDescent="0.3">
      <c r="A59" s="7"/>
      <c r="B59" s="102"/>
      <c r="C59" s="57" t="s">
        <v>49</v>
      </c>
      <c r="D59" s="10"/>
    </row>
    <row r="60" spans="1:4" ht="17.100000000000001" customHeight="1" thickBot="1" x14ac:dyDescent="0.3">
      <c r="A60" s="7"/>
      <c r="B60" s="103"/>
      <c r="C60" s="57" t="s">
        <v>50</v>
      </c>
      <c r="D60" s="10"/>
    </row>
    <row r="61" spans="1:4" ht="17.100000000000001" customHeight="1" thickBot="1" x14ac:dyDescent="0.3">
      <c r="A61" s="7"/>
      <c r="B61" s="65"/>
      <c r="C61" s="57" t="s">
        <v>52</v>
      </c>
      <c r="D61" s="10"/>
    </row>
    <row r="62" spans="1:4" ht="17.100000000000001" customHeight="1" thickBot="1" x14ac:dyDescent="0.3">
      <c r="A62" s="7"/>
      <c r="B62" s="65">
        <v>4</v>
      </c>
      <c r="C62" s="57" t="s">
        <v>132</v>
      </c>
      <c r="D62" s="10"/>
    </row>
    <row r="63" spans="1:4" ht="17.100000000000001" customHeight="1" thickBot="1" x14ac:dyDescent="0.3">
      <c r="A63" s="7"/>
      <c r="B63" s="65">
        <v>5</v>
      </c>
      <c r="C63" s="57" t="str">
        <f ca="1">_xlfn.CONCAT("  mov AX, ", E133)</f>
        <v xml:space="preserve">  mov AX, 4E37h</v>
      </c>
      <c r="D63" s="10"/>
    </row>
    <row r="64" spans="1:4" ht="17.100000000000001" customHeight="1" thickBot="1" x14ac:dyDescent="0.3">
      <c r="A64" s="7"/>
      <c r="B64" s="65">
        <v>6</v>
      </c>
      <c r="C64" s="57" t="s">
        <v>71</v>
      </c>
      <c r="D64" s="10"/>
    </row>
    <row r="65" spans="1:4" ht="17.100000000000001" customHeight="1" thickBot="1" x14ac:dyDescent="0.3">
      <c r="A65" s="7"/>
      <c r="B65" s="65">
        <v>7</v>
      </c>
      <c r="C65" s="57" t="s">
        <v>72</v>
      </c>
      <c r="D65" s="10"/>
    </row>
    <row r="66" spans="1:4" ht="17.100000000000001" customHeight="1" thickBot="1" x14ac:dyDescent="0.3">
      <c r="A66" s="7"/>
      <c r="B66" s="65">
        <v>8</v>
      </c>
      <c r="C66" s="57" t="s">
        <v>72</v>
      </c>
      <c r="D66" s="10"/>
    </row>
    <row r="67" spans="1:4" ht="17.100000000000001" customHeight="1" thickBot="1" x14ac:dyDescent="0.3">
      <c r="A67" s="7"/>
      <c r="B67" s="65">
        <v>9</v>
      </c>
      <c r="C67" s="57" t="s">
        <v>73</v>
      </c>
      <c r="D67" s="10"/>
    </row>
    <row r="68" spans="1:4" ht="17.100000000000001" customHeight="1" thickBot="1" x14ac:dyDescent="0.3">
      <c r="A68" s="7"/>
      <c r="B68" s="65">
        <v>10</v>
      </c>
      <c r="C68" s="57" t="str">
        <f ca="1">_xlfn.CONCAT("  MOV DL, BYTE PTR var", RANDBETWEEN(1, 5) )</f>
        <v xml:space="preserve">  MOV DL, BYTE PTR var2</v>
      </c>
      <c r="D68" s="10"/>
    </row>
    <row r="69" spans="1:4" ht="17.100000000000001" customHeight="1" thickBot="1" x14ac:dyDescent="0.3">
      <c r="A69" s="7"/>
      <c r="B69" s="65">
        <v>11</v>
      </c>
      <c r="C69" s="57" t="str">
        <f ca="1">_xlfn.CONCAT( "  MOV DH, BYTE PTR var6 + ", RANDBETWEEN(1, 3) )</f>
        <v xml:space="preserve">  MOV DH, BYTE PTR var6 + 3</v>
      </c>
      <c r="D69" s="10"/>
    </row>
    <row r="70" spans="1:4" ht="17.100000000000001" customHeight="1" thickBot="1" x14ac:dyDescent="0.3">
      <c r="A70" s="7"/>
      <c r="B70" s="65">
        <v>12</v>
      </c>
      <c r="C70" s="57" t="s">
        <v>155</v>
      </c>
      <c r="D70" s="10"/>
    </row>
    <row r="71" spans="1:4" ht="17.100000000000001" customHeight="1" thickBot="1" x14ac:dyDescent="0.3">
      <c r="A71" s="7"/>
      <c r="B71" s="65">
        <v>13</v>
      </c>
      <c r="C71" s="57" t="s">
        <v>152</v>
      </c>
      <c r="D71" s="10"/>
    </row>
    <row r="72" spans="1:4" ht="17.100000000000001" customHeight="1" thickBot="1" x14ac:dyDescent="0.3">
      <c r="A72" s="7"/>
      <c r="B72" s="65">
        <v>14</v>
      </c>
      <c r="C72" s="57" t="str">
        <f ca="1">_xlfn.CONCAT( "  MOV CL, ", RANDBETWEEN(1, 3) )</f>
        <v xml:space="preserve">  MOV CL, 3</v>
      </c>
      <c r="D72" s="10"/>
    </row>
    <row r="73" spans="1:4" ht="17.100000000000001" customHeight="1" thickBot="1" x14ac:dyDescent="0.3">
      <c r="A73" s="7"/>
      <c r="B73" s="65">
        <v>15</v>
      </c>
      <c r="C73" s="57" t="str">
        <f ca="1">_xlfn.CONCAT("  ",C162," DX, CL")</f>
        <v xml:space="preserve">  SHR DX, CL</v>
      </c>
      <c r="D73" s="10"/>
    </row>
    <row r="74" spans="1:4" ht="17.100000000000001" customHeight="1" thickBot="1" x14ac:dyDescent="0.3">
      <c r="A74" s="7"/>
      <c r="B74" s="65">
        <v>16</v>
      </c>
      <c r="C74" s="57" t="s">
        <v>153</v>
      </c>
      <c r="D74" s="10"/>
    </row>
    <row r="75" spans="1:4" ht="17.100000000000001" customHeight="1" thickBot="1" x14ac:dyDescent="0.3">
      <c r="A75" s="7"/>
      <c r="B75" s="65">
        <v>17</v>
      </c>
      <c r="C75" s="57" t="s">
        <v>27</v>
      </c>
      <c r="D75" s="10"/>
    </row>
    <row r="76" spans="1:4" ht="17.100000000000001" customHeight="1" thickBot="1" x14ac:dyDescent="0.3">
      <c r="A76" s="7"/>
      <c r="B76" s="65">
        <v>18</v>
      </c>
      <c r="C76" s="57" t="s">
        <v>154</v>
      </c>
      <c r="D76" s="10"/>
    </row>
    <row r="77" spans="1:4" ht="17.100000000000001" customHeight="1" thickBot="1" x14ac:dyDescent="0.3">
      <c r="A77" s="7"/>
      <c r="B77" s="65">
        <v>19</v>
      </c>
      <c r="C77" s="57" t="s">
        <v>113</v>
      </c>
      <c r="D77" s="10"/>
    </row>
    <row r="78" spans="1:4" ht="17.100000000000001" customHeight="1" thickBot="1" x14ac:dyDescent="0.3">
      <c r="A78" s="7"/>
      <c r="B78" s="65"/>
      <c r="C78" s="57" t="s">
        <v>141</v>
      </c>
      <c r="D78" s="10"/>
    </row>
    <row r="79" spans="1:4" ht="17.100000000000001" customHeight="1" thickBot="1" x14ac:dyDescent="0.3">
      <c r="A79" s="7"/>
      <c r="B79" s="65">
        <v>20</v>
      </c>
      <c r="C79" s="57" t="s">
        <v>140</v>
      </c>
      <c r="D79" s="10"/>
    </row>
    <row r="80" spans="1:4" ht="17.100000000000001" customHeight="1" thickBot="1" x14ac:dyDescent="0.3">
      <c r="A80" s="7"/>
      <c r="B80" s="65">
        <v>21</v>
      </c>
      <c r="C80" s="57" t="s">
        <v>145</v>
      </c>
      <c r="D80" s="10"/>
    </row>
    <row r="81" spans="1:7" ht="17.100000000000001" customHeight="1" thickBot="1" x14ac:dyDescent="0.3">
      <c r="A81" s="7"/>
      <c r="B81" s="65">
        <v>22</v>
      </c>
      <c r="C81" s="57" t="s">
        <v>146</v>
      </c>
      <c r="D81" s="10"/>
    </row>
    <row r="82" spans="1:7" ht="17.100000000000001" customHeight="1" thickBot="1" x14ac:dyDescent="0.3">
      <c r="A82" s="7"/>
      <c r="B82" s="65"/>
      <c r="C82" s="57" t="s">
        <v>165</v>
      </c>
      <c r="D82" s="10"/>
    </row>
    <row r="83" spans="1:7" ht="17.100000000000001" customHeight="1" thickBot="1" x14ac:dyDescent="0.3">
      <c r="A83" s="7"/>
      <c r="B83" s="65">
        <v>23</v>
      </c>
      <c r="C83" s="57" t="s">
        <v>143</v>
      </c>
      <c r="D83" s="10"/>
    </row>
    <row r="84" spans="1:7" ht="17.100000000000001" customHeight="1" thickBot="1" x14ac:dyDescent="0.3">
      <c r="A84" s="7"/>
      <c r="B84" s="65"/>
      <c r="C84" s="57" t="str">
        <f ca="1">_xlfn.CONCAT("  MOV BX, ", (RANDBETWEEN(0, 3) * 4) )</f>
        <v xml:space="preserve">  MOV BX, 12</v>
      </c>
      <c r="D84" s="10"/>
    </row>
    <row r="85" spans="1:7" ht="17.100000000000001" customHeight="1" thickBot="1" x14ac:dyDescent="0.3">
      <c r="A85" s="7"/>
      <c r="B85" s="65"/>
      <c r="C85" s="57" t="s">
        <v>142</v>
      </c>
      <c r="D85" s="10"/>
    </row>
    <row r="86" spans="1:7" ht="17.100000000000001" customHeight="1" thickBot="1" x14ac:dyDescent="0.3">
      <c r="A86" s="7"/>
      <c r="B86" s="65"/>
      <c r="C86" s="57" t="str">
        <f ca="1">IF(E86="  MOV CX, WORD PTR ES:[DI + 0]", "  MOV CX, WORD PTR ES:[DI]", E86)</f>
        <v xml:space="preserve">  MOV CX, WORD PTR ES:[DI + 1]</v>
      </c>
      <c r="D86" s="10"/>
      <c r="E86" s="62" t="str">
        <f ca="1">_xlfn.CONCAT("  MOV CX, WORD PTR ES:[DI + ", RANDBETWEEN(0, 3), "]")</f>
        <v xml:space="preserve">  MOV CX, WORD PTR ES:[DI + 1]</v>
      </c>
      <c r="F86" s="62"/>
      <c r="G86" s="62"/>
    </row>
    <row r="87" spans="1:7" ht="17.100000000000001" customHeight="1" thickBot="1" x14ac:dyDescent="0.3">
      <c r="A87" s="7"/>
      <c r="B87" s="65"/>
      <c r="C87" s="57" t="s">
        <v>164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24</v>
      </c>
      <c r="C88" s="57" t="s">
        <v>144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25</v>
      </c>
      <c r="C89" s="57" t="str">
        <f ca="1">_xlfn.CONCAT("  MOV BX, ", (RANDBETWEEN(0, 3) * 4) )</f>
        <v xml:space="preserve">  MOV BX, 12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>
        <v>26</v>
      </c>
      <c r="C90" s="57" t="s">
        <v>142</v>
      </c>
      <c r="D90" s="10"/>
      <c r="E90" s="62"/>
      <c r="F90" s="62"/>
      <c r="G90" s="62"/>
    </row>
    <row r="91" spans="1:7" ht="17.100000000000001" customHeight="1" thickBot="1" x14ac:dyDescent="0.3">
      <c r="A91" s="7"/>
      <c r="B91" s="65"/>
      <c r="C91" s="57" t="str">
        <f ca="1">IF(E91="  MOV CX, WORD PTR ES:[DI + 0]", "  MOV CX, WORD PTR ES:[DI]", E91)</f>
        <v xml:space="preserve">  MOV CX, WORD PTR ES:[DI]</v>
      </c>
      <c r="D91" s="10"/>
      <c r="E91" s="62" t="str">
        <f ca="1">_xlfn.CONCAT("  MOV CX, WORD PTR ES:[DI + ", RANDBETWEEN(0, 3), "]")</f>
        <v xml:space="preserve">  MOV CX, WORD PTR ES:[DI + 0]</v>
      </c>
      <c r="F91" s="62"/>
      <c r="G91" s="62"/>
    </row>
    <row r="92" spans="1:7" ht="17.100000000000001" customHeight="1" thickBot="1" x14ac:dyDescent="0.3">
      <c r="A92" s="9"/>
      <c r="B92" s="66"/>
      <c r="C92" s="57" t="s">
        <v>167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156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157</v>
      </c>
      <c r="D94" s="10"/>
      <c r="E94" s="62"/>
      <c r="F94" s="62"/>
      <c r="G94" s="62"/>
    </row>
    <row r="95" spans="1:7" ht="17.100000000000001" customHeight="1" thickBot="1" x14ac:dyDescent="0.3">
      <c r="A95" s="9"/>
      <c r="B95" s="66"/>
      <c r="C95" s="57" t="s">
        <v>168</v>
      </c>
      <c r="D95" s="10"/>
      <c r="E95" s="62"/>
      <c r="F95" s="63"/>
      <c r="G95" s="62"/>
    </row>
    <row r="96" spans="1:7" ht="17.100000000000001" customHeight="1" thickBot="1" x14ac:dyDescent="0.3">
      <c r="A96" s="9"/>
      <c r="B96" s="66"/>
      <c r="C96" s="57" t="s">
        <v>158</v>
      </c>
      <c r="D96" s="10"/>
      <c r="E96" s="62"/>
      <c r="F96" s="62"/>
      <c r="G96" s="62"/>
    </row>
    <row r="97" spans="1:11" ht="17.100000000000001" customHeight="1" thickBot="1" x14ac:dyDescent="0.3">
      <c r="A97" s="9"/>
      <c r="B97" s="66"/>
      <c r="C97" s="57" t="s">
        <v>159</v>
      </c>
      <c r="D97" s="10"/>
      <c r="E97" s="64" t="s">
        <v>182</v>
      </c>
      <c r="F97" s="64" t="s">
        <v>183</v>
      </c>
      <c r="G97" s="62"/>
    </row>
    <row r="98" spans="1:11" ht="17.100000000000001" customHeight="1" thickBot="1" x14ac:dyDescent="0.3">
      <c r="A98" s="9"/>
      <c r="B98" s="66"/>
      <c r="C98" s="57" t="s">
        <v>180</v>
      </c>
      <c r="D98" s="10"/>
      <c r="E98" s="64"/>
      <c r="F98" s="64"/>
      <c r="G98" s="62"/>
    </row>
    <row r="99" spans="1:11" ht="17.100000000000001" customHeight="1" thickBot="1" x14ac:dyDescent="0.3">
      <c r="A99" s="9"/>
      <c r="B99" s="66"/>
      <c r="C99" s="57" t="str">
        <f ca="1">_xlfn.CONCAT(E99, E122)</f>
        <v xml:space="preserve">  MOV BYTE PTR [BP + 1], 54h</v>
      </c>
      <c r="D99" s="10"/>
      <c r="E99" s="64" t="str">
        <f>_xlfn.CONCAT("  MOV BYTE PTR [BP + ", G99,"], ")</f>
        <v xml:space="preserve">  MOV BYTE PTR [BP + 1], </v>
      </c>
      <c r="F99" s="64"/>
      <c r="G99" s="62">
        <v>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_xlfn.CONCAT("  MOV WORD PTR [BP - ", ABS(G100),"], ", E130)</f>
        <v xml:space="preserve">  MOV WORD PTR [BP - 3], 0FAE6h</v>
      </c>
      <c r="D100" s="10"/>
      <c r="E100" s="64" t="str">
        <f ca="1">_xlfn.CONCAT("  MOV WORD PTR [BP - ", G100,"], ")</f>
        <v xml:space="preserve">  MOV WORD PTR [BP - -3],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- 3], </v>
      </c>
      <c r="G100" s="63" cm="1">
        <f t="array" aca="1" ref="G100" ca="1">randNrBetweenWithException(-3, -1, -2)</f>
        <v>-3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_xlfn.CONCAT(E101, E131)</f>
        <v xml:space="preserve">  MOV WORD PTR [BP - 2], 6D28h</v>
      </c>
      <c r="D101" s="10"/>
      <c r="E101" s="64" t="str">
        <f ca="1">IF(F101=E100, REPLACE(F101, 22, 1, "2"), F101)</f>
        <v xml:space="preserve">  MOV WORD PTR [BP - 2], </v>
      </c>
      <c r="F101" s="64" t="str" cm="1">
        <f t="array" aca="1" ref="F101" ca="1">_xlfn.IFS( G101 &lt; 0, _xlfn.CONCAT( "  MOV WORD PTR [BP - ", ABS(G101), "], " ), G101 = 0, "  MOV WORD PTR [BP], ", G101 &gt; 0, _xlfn.CONCAT( "  MOV WORD PTR [BP + ", G101, "], " ) )</f>
        <v xml:space="preserve">  MOV WORD PTR [BP - 2], </v>
      </c>
      <c r="G101" s="63" cm="1">
        <f t="array" aca="1" ref="G101" ca="1">randNrBetweenWithException(-6, 2, G99, G100)</f>
        <v>-2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tr">
        <f ca="1">_xlfn.CONCAT(F102, E123)</f>
        <v xml:space="preserve">  MOV BYTE PTR [BP + 3], 62h</v>
      </c>
      <c r="D102" s="10"/>
      <c r="E102" s="64" t="str">
        <f ca="1">IF(F102 = E99, REPLACE(F102, 22, 1, "2"), F102)</f>
        <v xml:space="preserve">  MOV BYTE PTR [BP + 3], </v>
      </c>
      <c r="F102" s="64" t="str" cm="1">
        <f t="array" aca="1" ref="F102" ca="1">_xlfn.IFS( G102 &lt; 0, _xlfn.CONCAT( "  MOV BYTE PTR [BP - ", ABS(G102), "], " ), G102 = 0, "  MOV BYTE PTR [BP], ", G102 &gt; 0, _xlfn.CONCAT( "  MOV BYTE PTR [BP + ", G102, "], " ) )</f>
        <v xml:space="preserve">  MOV BYTE PTR [BP + 3], </v>
      </c>
      <c r="G102" s="62" cm="1">
        <f t="array" aca="1" ref="G102" ca="1">randNrBetweenWithException(-7, 3, G99, G100, G101)</f>
        <v>3</v>
      </c>
      <c r="H102" s="62"/>
      <c r="I102" s="62"/>
      <c r="J102" s="62"/>
      <c r="K102" s="62"/>
    </row>
    <row r="103" spans="1:11" ht="17.100000000000001" customHeight="1" thickBot="1" x14ac:dyDescent="0.3">
      <c r="A103" s="9"/>
      <c r="B103" s="66"/>
      <c r="C103" s="57" t="s">
        <v>160</v>
      </c>
      <c r="D103" s="10"/>
      <c r="E103" s="62"/>
      <c r="F103" s="62"/>
      <c r="G103" s="62"/>
    </row>
    <row r="104" spans="1:11" ht="17.100000000000001" customHeight="1" thickBot="1" x14ac:dyDescent="0.3">
      <c r="A104" s="9"/>
      <c r="B104" s="66"/>
      <c r="C104" s="57" t="s">
        <v>181</v>
      </c>
      <c r="D104" s="10"/>
    </row>
    <row r="105" spans="1:11" ht="17.100000000000001" customHeight="1" thickBot="1" x14ac:dyDescent="0.3">
      <c r="A105" s="9"/>
      <c r="B105" s="66"/>
      <c r="C105" s="57" t="s">
        <v>169</v>
      </c>
      <c r="D105" s="10"/>
    </row>
    <row r="106" spans="1:11" ht="17.100000000000001" customHeight="1" thickBot="1" x14ac:dyDescent="0.3">
      <c r="A106" s="9"/>
      <c r="B106" s="66"/>
      <c r="C106" s="57" t="s">
        <v>170</v>
      </c>
      <c r="D106" s="10"/>
    </row>
    <row r="107" spans="1:11" ht="17.100000000000001" customHeight="1" thickBot="1" x14ac:dyDescent="0.3">
      <c r="A107" s="9"/>
      <c r="B107" s="66"/>
      <c r="C107" s="57" t="s">
        <v>36</v>
      </c>
      <c r="D107" s="10"/>
    </row>
    <row r="108" spans="1:11" ht="17.100000000000001" customHeight="1" thickBot="1" x14ac:dyDescent="0.3">
      <c r="A108" s="9"/>
      <c r="B108" s="66"/>
      <c r="C108" s="57" t="s">
        <v>35</v>
      </c>
      <c r="D108" s="10"/>
    </row>
    <row r="109" spans="1:11" ht="17.100000000000001" customHeight="1" thickBot="1" x14ac:dyDescent="0.3">
      <c r="A109" s="9"/>
      <c r="B109" s="101">
        <v>30</v>
      </c>
      <c r="C109" s="57" t="s">
        <v>46</v>
      </c>
      <c r="D109" s="10"/>
    </row>
    <row r="110" spans="1:11" ht="16.5" thickBot="1" x14ac:dyDescent="0.3">
      <c r="A110" s="9"/>
      <c r="B110" s="102"/>
      <c r="C110" s="57" t="s">
        <v>47</v>
      </c>
      <c r="D110" s="10"/>
    </row>
    <row r="111" spans="1:11" ht="16.5" thickBot="1" x14ac:dyDescent="0.3">
      <c r="A111" s="3"/>
      <c r="B111" s="103"/>
      <c r="C111" s="57" t="s">
        <v>48</v>
      </c>
      <c r="D111" s="10"/>
    </row>
    <row r="112" spans="1:11" ht="16.5" thickBot="1" x14ac:dyDescent="0.3">
      <c r="A112" s="1"/>
      <c r="B112" s="65"/>
      <c r="C112" s="57" t="s">
        <v>23</v>
      </c>
      <c r="D112" s="1"/>
    </row>
    <row r="113" spans="1:5" ht="9.9499999999999993" customHeight="1" x14ac:dyDescent="0.25">
      <c r="A113" s="1"/>
      <c r="B113" s="38"/>
      <c r="C113" s="6"/>
      <c r="D113" s="1"/>
    </row>
    <row r="114" spans="1:5" x14ac:dyDescent="0.25">
      <c r="C114" s="1"/>
    </row>
    <row r="115" spans="1:5" x14ac:dyDescent="0.25">
      <c r="C115" s="1"/>
    </row>
    <row r="116" spans="1:5" x14ac:dyDescent="0.25">
      <c r="C116" t="s">
        <v>62</v>
      </c>
      <c r="E116" t="s">
        <v>63</v>
      </c>
    </row>
    <row r="117" spans="1:5" x14ac:dyDescent="0.25">
      <c r="C117" s="39" t="s">
        <v>58</v>
      </c>
    </row>
    <row r="118" spans="1:5" x14ac:dyDescent="0.25">
      <c r="C118">
        <f ca="1">RANDBETWEEN(0,255)</f>
        <v>100</v>
      </c>
      <c r="E118" t="str">
        <f ca="1">_xlfn.CONCAT( _xlfn.IFS( C118 &lt; HEX2DEC("A"), DEC2HEX(C118, 1), C118 &lt; HEX2DEC("A0"), DEC2HEX(C118, 2), C118 &lt; HEX2DEC("A00"), DEC2HEX(C118, 3), C118 &lt; HEX2DEC("A000"), DEC2HEX(C118, 4), C118 &lt; HEX2DEC("A0000"), DEC2HEX(C118, 5), C118 &lt; HEX2DEC("A00000"), DEC2HEX(C118, 6), C118 &lt; HEX2DEC("A000000"), DEC2HEX(C118, 7), C118 &lt; HEX2DEC("A0000000"), DEC2HEX(C118, 8), TRUE, DEC2HEX(C118, 9) ), "h" )</f>
        <v>64h</v>
      </c>
    </row>
    <row r="119" spans="1:5" x14ac:dyDescent="0.25">
      <c r="C119" s="39" t="s">
        <v>103</v>
      </c>
    </row>
    <row r="120" spans="1:5" x14ac:dyDescent="0.25">
      <c r="C120">
        <f ca="1">RANDBETWEEN(1,255)</f>
        <v>37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25h</v>
      </c>
    </row>
    <row r="121" spans="1:5" x14ac:dyDescent="0.25">
      <c r="C121">
        <f ca="1">RANDBETWEEN(1,255)</f>
        <v>139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8Bh</v>
      </c>
    </row>
    <row r="122" spans="1:5" x14ac:dyDescent="0.25">
      <c r="C122">
        <f ca="1">RANDBETWEEN(1,255)</f>
        <v>84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54h</v>
      </c>
    </row>
    <row r="123" spans="1:5" x14ac:dyDescent="0.25">
      <c r="C123">
        <f ca="1">RANDBETWEEN(1,255)</f>
        <v>98</v>
      </c>
      <c r="E123" t="str">
        <f ca="1">_xlfn.CONCAT( _xlfn.IFS( C123 &lt; HEX2DEC("A"), DEC2HEX(C123, 1), C123 &lt; HEX2DEC("A0"), DEC2HEX(C123, 2), C123 &lt; HEX2DEC("A00"), DEC2HEX(C123, 3), C123 &lt; HEX2DEC("A000"), DEC2HEX(C123, 4), C123 &lt; HEX2DEC("A0000"), DEC2HEX(C123, 5), C123 &lt; HEX2DEC("A00000"), DEC2HEX(C123, 6), C123 &lt; HEX2DEC("A000000"), DEC2HEX(C123, 7), C123 &lt; HEX2DEC("A0000000"), DEC2HEX(C123, 8), TRUE, DEC2HEX(C123, 9) ), "h" )</f>
        <v>62h</v>
      </c>
    </row>
    <row r="124" spans="1:5" x14ac:dyDescent="0.25">
      <c r="C124" s="39" t="s">
        <v>59</v>
      </c>
    </row>
    <row r="125" spans="1:5" x14ac:dyDescent="0.25">
      <c r="C125">
        <f ca="1">RANDBETWEEN(0, 65535)</f>
        <v>59805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0E99Dh</v>
      </c>
    </row>
    <row r="126" spans="1:5" x14ac:dyDescent="0.25">
      <c r="C126">
        <f ca="1">RANDBETWEEN(0, 65535)</f>
        <v>21217</v>
      </c>
      <c r="E126" t="str">
        <f ca="1">_xlfn.CONCAT( _xlfn.IFS( C126 &lt; HEX2DEC("A"), DEC2HEX(C126, 1), C126 &lt; HEX2DEC("A0"), DEC2HEX(C126, 2), C126 &lt; HEX2DEC("A00"), DEC2HEX(C126, 3), C126 &lt; HEX2DEC("A000"), DEC2HEX(C126, 4), C126 &lt; HEX2DEC("A0000"), DEC2HEX(C126, 5), C126 &lt; HEX2DEC("A00000"), DEC2HEX(C126, 6), C126 &lt; HEX2DEC("A000000"), DEC2HEX(C126, 7), C126 &lt; HEX2DEC("A0000000"), DEC2HEX(C126, 8), TRUE, DEC2HEX(C126, 9) ), "h" )</f>
        <v>52E1h</v>
      </c>
    </row>
    <row r="127" spans="1:5" x14ac:dyDescent="0.25">
      <c r="C127" s="39" t="s">
        <v>60</v>
      </c>
    </row>
    <row r="128" spans="1:5" x14ac:dyDescent="0.25">
      <c r="C128">
        <f ca="1">RANDBETWEEN(256, 65535)</f>
        <v>11571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2D33h</v>
      </c>
    </row>
    <row r="129" spans="3:5" x14ac:dyDescent="0.25">
      <c r="C129">
        <f ca="1">RANDBETWEEN(256, 65535)</f>
        <v>54206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0D3BEh</v>
      </c>
    </row>
    <row r="130" spans="3:5" x14ac:dyDescent="0.25">
      <c r="C130">
        <f ca="1">RANDBETWEEN(256, 65535)</f>
        <v>64230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0FAE6h</v>
      </c>
    </row>
    <row r="131" spans="3:5" x14ac:dyDescent="0.25">
      <c r="C131">
        <f ca="1">RANDBETWEEN(256, 65535)</f>
        <v>27944</v>
      </c>
      <c r="E131" t="str">
        <f ca="1">_xlfn.CONCAT( _xlfn.IFS( C131 &lt; HEX2DEC("A"), DEC2HEX(C131, 1), C131 &lt; HEX2DEC("A0"), DEC2HEX(C131, 2), C131 &lt; HEX2DEC("A00"), DEC2HEX(C131, 3), C131 &lt; HEX2DEC("A000"), DEC2HEX(C131, 4), C131 &lt; HEX2DEC("A0000"), DEC2HEX(C131, 5), C131 &lt; HEX2DEC("A00000"), DEC2HEX(C131, 6), C131 &lt; HEX2DEC("A000000"), DEC2HEX(C131, 7), C131 &lt; HEX2DEC("A0000000"), DEC2HEX(C131, 8), TRUE, DEC2HEX(C131, 9) ), "h" )</f>
        <v>6D28h</v>
      </c>
    </row>
    <row r="132" spans="3:5" x14ac:dyDescent="0.25">
      <c r="C132" s="39" t="s">
        <v>68</v>
      </c>
    </row>
    <row r="133" spans="3:5" x14ac:dyDescent="0.25">
      <c r="C133">
        <f ca="1">RANDBETWEEN(HEX2DEC("1000"), 65535)</f>
        <v>20023</v>
      </c>
      <c r="E133" t="str">
        <f ca="1">_xlfn.CONCAT( _xlfn.IFS( C133 &lt; HEX2DEC("A"), DEC2HEX(C133, 1), C133 &lt; HEX2DEC("A0"), DEC2HEX(C133, 2), C133 &lt; HEX2DEC("A00"), DEC2HEX(C133, 3), C133 &lt; HEX2DEC("A000"), DEC2HEX(C133, 4), C133 &lt; HEX2DEC("A0000"), DEC2HEX(C133, 5), C133 &lt; HEX2DEC("A00000"), DEC2HEX(C133, 6), C133 &lt; HEX2DEC("A000000"), DEC2HEX(C133, 7), C133 &lt; HEX2DEC("A0000000"), DEC2HEX(C133, 8), TRUE, DEC2HEX(C133, 9) ), "h" )</f>
        <v>4E37h</v>
      </c>
    </row>
    <row r="134" spans="3:5" x14ac:dyDescent="0.25">
      <c r="C134" s="39" t="s">
        <v>61</v>
      </c>
    </row>
    <row r="135" spans="3:5" x14ac:dyDescent="0.25">
      <c r="C135">
        <f ca="1">RANDBETWEEN(65536, 4294967295)</f>
        <v>2818585601</v>
      </c>
      <c r="E135" t="str">
        <f ca="1">_xlfn.CONCAT( _xlfn.IFS( C135 &lt; HEX2DEC("A"), DEC2HEX(C135, 1), C135 &lt; HEX2DEC("A0"), DEC2HEX(C135, 2), C135 &lt; HEX2DEC("A00"), DEC2HEX(C135, 3), C135 &lt; HEX2DEC("A000"), DEC2HEX(C135, 4), C135 &lt; HEX2DEC("A0000"), DEC2HEX(C135, 5), C135 &lt; HEX2DEC("A00000"), DEC2HEX(C135, 6), C135 &lt; HEX2DEC("A000000"), DEC2HEX(C135, 7), C135 &lt; HEX2DEC("A0000000"), DEC2HEX(C135, 8), TRUE, DEC2HEX(C135, 9) ), "h" )</f>
        <v>0A8003401h</v>
      </c>
    </row>
    <row r="136" spans="3:5" x14ac:dyDescent="0.25">
      <c r="C136">
        <f ca="1">RANDBETWEEN(65536, 4294967295)</f>
        <v>4259644148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0FDE502F4h</v>
      </c>
    </row>
    <row r="137" spans="3:5" x14ac:dyDescent="0.25">
      <c r="C137" t="s">
        <v>64</v>
      </c>
    </row>
    <row r="138" spans="3:5" x14ac:dyDescent="0.25">
      <c r="C138">
        <f ca="1">EVEN(RANDBETWEEN(100, 2048))</f>
        <v>1594</v>
      </c>
      <c r="E138" t="str">
        <f ca="1">_xlfn.CONCAT( _xlfn.IFS( C138 &lt; HEX2DEC("A"), DEC2HEX(C138, 1), C138 &lt; HEX2DEC("A0"), DEC2HEX(C138, 2), C138 &lt; HEX2DEC("A00"), DEC2HEX(C138, 3), C138 &lt; HEX2DEC("A000"), DEC2HEX(C138, 4), C138 &lt; HEX2DEC("A0000"), DEC2HEX(C138, 5), C138 &lt; HEX2DEC("A00000"), DEC2HEX(C138, 6), C138 &lt; HEX2DEC("A000000"), DEC2HEX(C138, 7), C138 &lt; HEX2DEC("A0000000"), DEC2HEX(C138, 8), TRUE, DEC2HEX(C138, 9) ), "h" )</f>
        <v>63Ah</v>
      </c>
    </row>
    <row r="139" spans="3:5" x14ac:dyDescent="0.25">
      <c r="C139" t="s">
        <v>65</v>
      </c>
    </row>
    <row r="140" spans="3:5" x14ac:dyDescent="0.25">
      <c r="C140">
        <f ca="1">ROUNDDOWN(C138/100, 1) * 100</f>
        <v>1590</v>
      </c>
    </row>
    <row r="142" spans="3:5" x14ac:dyDescent="0.25">
      <c r="C142" t="s">
        <v>88</v>
      </c>
    </row>
    <row r="143" spans="3:5" x14ac:dyDescent="0.25">
      <c r="C143" s="53" t="str">
        <f>_xlfn.CONCAT( (HEX2BIN("AA")), (HEX2BIN("AA")), "b" )</f>
        <v>1010101010101010b</v>
      </c>
    </row>
    <row r="144" spans="3:5" x14ac:dyDescent="0.25">
      <c r="C144" t="str">
        <f>_xlfn.CONCAT( (HEX2BIN("FF")), (HEX2BIN("AA")), "b" )</f>
        <v>1111111110101010b</v>
      </c>
    </row>
    <row r="145" spans="3:3" x14ac:dyDescent="0.25">
      <c r="C145" t="str">
        <f>_xlfn.CONCAT( (HEX2BIN("CC")), (HEX2BIN("FF")), "b" )</f>
        <v>1100110011111111b</v>
      </c>
    </row>
    <row r="146" spans="3:3" x14ac:dyDescent="0.25">
      <c r="C146" t="str">
        <f>_xlfn.CONCAT( (HEX2BIN("55", 8)), (HEX2BIN("55", 8)), "b" )</f>
        <v>0101010101010101b</v>
      </c>
    </row>
    <row r="147" spans="3:3" x14ac:dyDescent="0.25">
      <c r="C147" t="str">
        <f>_xlfn.CONCAT( (HEX2BIN("66", 8)), (HEX2BIN("66", 8)), "b" )</f>
        <v>0110011001100110b</v>
      </c>
    </row>
    <row r="148" spans="3:3" x14ac:dyDescent="0.25">
      <c r="C148" t="str">
        <f>_xlfn.CONCAT( (HEX2BIN("99", 8)), (HEX2BIN("99", 8)), "b" )</f>
        <v>1001100110011001b</v>
      </c>
    </row>
    <row r="149" spans="3:3" x14ac:dyDescent="0.25">
      <c r="C149" t="str">
        <f>_xlfn.CONCAT( (HEX2BIN("F3", 8)), (HEX2BIN("F3", 8)), "b" )</f>
        <v>1111001111110011b</v>
      </c>
    </row>
    <row r="150" spans="3:3" x14ac:dyDescent="0.25">
      <c r="C150" t="str">
        <f>_xlfn.CONCAT( (HEX2BIN("FC", 8)), (HEX2BIN("FC", 8)), "b" )</f>
        <v>1111110011111100b</v>
      </c>
    </row>
    <row r="152" spans="3:3" x14ac:dyDescent="0.25">
      <c r="C152" t="s">
        <v>133</v>
      </c>
    </row>
    <row r="153" spans="3:3" x14ac:dyDescent="0.25">
      <c r="C153" t="str" cm="1">
        <f t="array" aca="1" ref="C153" ca="1">INDEX($C$143:$C$150,RANDBETWEEN(1,COUNTA($C$143:$C$150)), 1)</f>
        <v>1001100110011001b</v>
      </c>
    </row>
    <row r="155" spans="3:3" x14ac:dyDescent="0.25">
      <c r="C155" t="s">
        <v>135</v>
      </c>
    </row>
    <row r="156" spans="3:3" x14ac:dyDescent="0.25">
      <c r="C156" t="s">
        <v>105</v>
      </c>
    </row>
    <row r="157" spans="3:3" x14ac:dyDescent="0.25">
      <c r="C157" t="s">
        <v>106</v>
      </c>
    </row>
    <row r="158" spans="3:3" x14ac:dyDescent="0.25">
      <c r="C158" t="s">
        <v>107</v>
      </c>
    </row>
    <row r="159" spans="3:3" x14ac:dyDescent="0.25">
      <c r="C159" t="s">
        <v>108</v>
      </c>
    </row>
    <row r="161" spans="3:3" x14ac:dyDescent="0.25">
      <c r="C161" t="s">
        <v>134</v>
      </c>
    </row>
    <row r="162" spans="3:3" x14ac:dyDescent="0.25">
      <c r="C162" t="str" cm="1">
        <f t="array" aca="1" ref="C162" ca="1">INDEX($C$156:$C$159, RANDBETWEEN(1, COUNTA($C$156:$C$159)), 1)</f>
        <v>SHR</v>
      </c>
    </row>
    <row r="164" spans="3:3" x14ac:dyDescent="0.25">
      <c r="C164" t="s">
        <v>110</v>
      </c>
    </row>
    <row r="165" spans="3:3" x14ac:dyDescent="0.25">
      <c r="C165" t="s">
        <v>111</v>
      </c>
    </row>
    <row r="167" spans="3:3" x14ac:dyDescent="0.25">
      <c r="C167" t="s">
        <v>136</v>
      </c>
    </row>
    <row r="168" spans="3:3" x14ac:dyDescent="0.25">
      <c r="C168" t="s">
        <v>137</v>
      </c>
    </row>
    <row r="169" spans="3:3" x14ac:dyDescent="0.25">
      <c r="C169" t="s">
        <v>138</v>
      </c>
    </row>
    <row r="171" spans="3:3" x14ac:dyDescent="0.25">
      <c r="C171" t="s">
        <v>139</v>
      </c>
    </row>
    <row r="172" spans="3:3" x14ac:dyDescent="0.25">
      <c r="C172" t="str" cm="1">
        <f t="array" aca="1" ref="C172" ca="1">INDEX($C$168:$C$169, RANDBETWEEN(1, COUNTA($C$168:$C$169)), 1)</f>
        <v>far</v>
      </c>
    </row>
    <row r="173" spans="3:3" x14ac:dyDescent="0.25">
      <c r="C173" t="str" cm="1">
        <f t="array" aca="1" ref="C173" ca="1">INDEX($C$168:$C$169, RANDBETWEEN(1, COUNTA($C$168:$C$169)), 1)</f>
        <v>near</v>
      </c>
    </row>
  </sheetData>
  <mergeCells count="3">
    <mergeCell ref="B16:B22"/>
    <mergeCell ref="B58:B60"/>
    <mergeCell ref="B109:B111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FF8EC2-1527-46E3-921B-EA341A0D84D8}">
  <sheetPr codeName="Sheet12"/>
  <dimension ref="A1:K171"/>
  <sheetViews>
    <sheetView topLeftCell="B1" zoomScale="85" zoomScaleNormal="85" workbookViewId="0">
      <selection activeCell="E33" sqref="E33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6" ht="9.9499999999999993" customHeight="1" thickBot="1" x14ac:dyDescent="0.3">
      <c r="A1" s="3"/>
      <c r="B1" s="21"/>
      <c r="C1" s="5"/>
      <c r="D1" s="3"/>
    </row>
    <row r="2" spans="1:6" ht="16.5" thickBot="1" x14ac:dyDescent="0.3">
      <c r="A2" s="8"/>
      <c r="B2" s="54" t="s">
        <v>5</v>
      </c>
      <c r="C2" s="55" t="s">
        <v>14</v>
      </c>
      <c r="D2" s="10"/>
    </row>
    <row r="3" spans="1:6" ht="16.5" thickBot="1" x14ac:dyDescent="0.3">
      <c r="A3" s="8"/>
      <c r="B3" s="56"/>
      <c r="C3" s="57" t="s">
        <v>38</v>
      </c>
      <c r="D3" s="10"/>
    </row>
    <row r="4" spans="1:6" ht="16.5" thickBot="1" x14ac:dyDescent="0.3">
      <c r="A4" s="8"/>
      <c r="B4" s="56"/>
      <c r="C4" s="57" t="s">
        <v>40</v>
      </c>
      <c r="D4" s="10"/>
    </row>
    <row r="5" spans="1:6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6" ht="16.5" thickBot="1" x14ac:dyDescent="0.3">
      <c r="A6" s="8"/>
      <c r="B6" s="56"/>
      <c r="C6" s="57" t="s">
        <v>173</v>
      </c>
      <c r="D6" s="10"/>
    </row>
    <row r="7" spans="1:6" ht="16.5" thickBot="1" x14ac:dyDescent="0.3">
      <c r="A7" s="8"/>
      <c r="B7" s="56"/>
      <c r="C7" s="57" t="s">
        <v>172</v>
      </c>
      <c r="D7" s="10"/>
    </row>
    <row r="8" spans="1:6" ht="16.5" thickBot="1" x14ac:dyDescent="0.3">
      <c r="A8" s="8"/>
      <c r="B8" s="56"/>
      <c r="C8" s="57" t="s">
        <v>100</v>
      </c>
      <c r="D8" s="10"/>
    </row>
    <row r="9" spans="1:6" ht="16.5" thickBot="1" x14ac:dyDescent="0.3">
      <c r="A9" s="8"/>
      <c r="B9" s="56"/>
      <c r="C9" s="57" t="s">
        <v>39</v>
      </c>
      <c r="D9" s="10"/>
    </row>
    <row r="10" spans="1:6" ht="15.75" thickBot="1" x14ac:dyDescent="0.3">
      <c r="A10" s="8"/>
      <c r="B10" s="56"/>
      <c r="C10" s="58"/>
      <c r="D10" s="10"/>
    </row>
    <row r="11" spans="1:6" ht="16.5" thickBot="1" x14ac:dyDescent="0.3">
      <c r="A11" s="8"/>
      <c r="B11" s="56">
        <v>1</v>
      </c>
      <c r="C11" s="55" t="str">
        <f ca="1">_xlfn.CONCAT("masca equ ", C151)</f>
        <v>masca equ 1100110011111111b</v>
      </c>
      <c r="D11" s="10"/>
    </row>
    <row r="12" spans="1:6" ht="15.75" thickBot="1" x14ac:dyDescent="0.3">
      <c r="A12" s="8"/>
      <c r="B12" s="56"/>
      <c r="C12" s="58"/>
      <c r="D12" s="10"/>
    </row>
    <row r="13" spans="1:6" ht="16.5" thickBot="1" x14ac:dyDescent="0.3">
      <c r="A13" s="8"/>
      <c r="B13" s="56"/>
      <c r="C13" s="57" t="s">
        <v>20</v>
      </c>
      <c r="D13" s="10"/>
    </row>
    <row r="14" spans="1:6" ht="16.5" thickBot="1" x14ac:dyDescent="0.3">
      <c r="A14" s="8"/>
      <c r="B14" s="56">
        <v>2</v>
      </c>
      <c r="C14" s="57" t="str">
        <f ca="1">_xlfn.CONCAT(".stack ", C138)</f>
        <v>.stack 1430</v>
      </c>
      <c r="D14" s="10"/>
    </row>
    <row r="15" spans="1:6" ht="16.5" customHeight="1" thickBot="1" x14ac:dyDescent="0.3">
      <c r="A15" s="7"/>
      <c r="B15" s="65"/>
      <c r="C15" s="57" t="s">
        <v>16</v>
      </c>
      <c r="D15" s="10"/>
      <c r="F15" s="67" t="s">
        <v>184</v>
      </c>
    </row>
    <row r="16" spans="1:6" ht="17.100000000000001" customHeight="1" thickBot="1" x14ac:dyDescent="0.3">
      <c r="A16" s="7"/>
      <c r="B16" s="104">
        <v>3</v>
      </c>
      <c r="C16" s="57" t="str">
        <f ca="1">_xlfn.CONCAT("  var1 ", E16)</f>
        <v xml:space="preserve">  var1 DW 560Ah</v>
      </c>
      <c r="D16" s="10"/>
      <c r="E16" t="str">
        <f ca="1">_xlfn.CONCAT("DW ", E127)</f>
        <v>DW 560Ah</v>
      </c>
      <c r="F16" s="67" t="s">
        <v>185</v>
      </c>
    </row>
    <row r="17" spans="1:6" ht="17.100000000000001" customHeight="1" thickBot="1" x14ac:dyDescent="0.3">
      <c r="A17" s="7"/>
      <c r="B17" s="104"/>
      <c r="C17" s="57" t="str">
        <f ca="1">_xlfn.CONCAT("  var2 ", E17)</f>
        <v xml:space="preserve">  var2 DW 0E45Ch</v>
      </c>
      <c r="D17" s="10"/>
      <c r="E17" t="str">
        <f ca="1">_xlfn.CONCAT("DW ", E128)</f>
        <v>DW 0E45Ch</v>
      </c>
      <c r="F17" s="67"/>
    </row>
    <row r="18" spans="1:6" ht="17.100000000000001" customHeight="1" thickBot="1" x14ac:dyDescent="0.3">
      <c r="A18" s="7"/>
      <c r="B18" s="104"/>
      <c r="C18" s="57" t="str">
        <f ca="1">_xlfn.CONCAT("  var3 ", E18)</f>
        <v xml:space="preserve">  var3 DB 96h</v>
      </c>
      <c r="D18" s="10"/>
      <c r="E18" t="str">
        <f ca="1">_xlfn.CONCAT("DB ", E119)</f>
        <v>DB 96h</v>
      </c>
      <c r="F18" s="67"/>
    </row>
    <row r="19" spans="1:6" ht="17.100000000000001" customHeight="1" thickBot="1" x14ac:dyDescent="0.3">
      <c r="A19" s="7"/>
      <c r="B19" s="104"/>
      <c r="C19" s="57" t="str">
        <f ca="1">_xlfn.CONCAT("  var4 ", E19)</f>
        <v xml:space="preserve">  var4 DB 73h</v>
      </c>
      <c r="D19" s="10"/>
      <c r="E19" t="str">
        <f ca="1">_xlfn.CONCAT("DB ", E120)</f>
        <v>DB 73h</v>
      </c>
      <c r="F19" s="67"/>
    </row>
    <row r="20" spans="1:6" ht="17.100000000000001" customHeight="1" thickBot="1" x14ac:dyDescent="0.3">
      <c r="A20" s="7"/>
      <c r="B20" s="104"/>
      <c r="C20" s="57" t="str">
        <f ca="1">_xlfn.CONCAT("  var5 ", E20)</f>
        <v xml:space="preserve">  var5 DD 0C4CAC1CDh</v>
      </c>
      <c r="D20" s="10"/>
      <c r="E20" t="str">
        <f ca="1">_xlfn.CONCAT("DD ", E134)</f>
        <v>DD 0C4CAC1CDh</v>
      </c>
      <c r="F20" s="67"/>
    </row>
    <row r="21" spans="1:6" ht="17.100000000000001" customHeight="1" thickBot="1" x14ac:dyDescent="0.3">
      <c r="A21" s="7"/>
      <c r="B21" s="104"/>
      <c r="C21" s="57" t="s">
        <v>166</v>
      </c>
      <c r="D21" s="10"/>
    </row>
    <row r="22" spans="1:6" ht="17.100000000000001" customHeight="1" thickBot="1" x14ac:dyDescent="0.3">
      <c r="A22" s="7"/>
      <c r="B22" s="65"/>
      <c r="C22" s="57" t="s">
        <v>21</v>
      </c>
      <c r="D22" s="10"/>
    </row>
    <row r="23" spans="1:6" ht="17.100000000000001" customHeight="1" thickBot="1" x14ac:dyDescent="0.3">
      <c r="A23" s="7"/>
      <c r="B23" s="65"/>
      <c r="C23" s="57"/>
      <c r="D23" s="10"/>
    </row>
    <row r="24" spans="1:6" ht="17.100000000000001" customHeight="1" thickBot="1" x14ac:dyDescent="0.3">
      <c r="A24" s="7"/>
      <c r="B24" s="65"/>
      <c r="C24" s="57" t="s">
        <v>171</v>
      </c>
      <c r="D24" s="10"/>
    </row>
    <row r="25" spans="1:6" ht="17.100000000000001" customHeight="1" thickBot="1" x14ac:dyDescent="0.3">
      <c r="A25" s="7"/>
      <c r="B25" s="65"/>
      <c r="C25" s="57" t="s">
        <v>179</v>
      </c>
      <c r="D25" s="10"/>
    </row>
    <row r="26" spans="1:6" ht="17.100000000000001" customHeight="1" thickBot="1" x14ac:dyDescent="0.3">
      <c r="A26" s="7"/>
      <c r="B26" s="65"/>
      <c r="C26" s="57" t="s">
        <v>177</v>
      </c>
      <c r="D26" s="10"/>
    </row>
    <row r="27" spans="1:6" ht="17.100000000000001" customHeight="1" thickBot="1" x14ac:dyDescent="0.3">
      <c r="A27" s="7"/>
      <c r="B27" s="65"/>
      <c r="C27" s="57" t="s">
        <v>178</v>
      </c>
      <c r="D27" s="10"/>
    </row>
    <row r="28" spans="1:6" ht="17.100000000000001" customHeight="1" thickBot="1" x14ac:dyDescent="0.3">
      <c r="A28" s="7"/>
      <c r="B28" s="65"/>
      <c r="C28" s="57" t="s">
        <v>176</v>
      </c>
      <c r="D28" s="10"/>
    </row>
    <row r="29" spans="1:6" ht="17.100000000000001" customHeight="1" thickBot="1" x14ac:dyDescent="0.3">
      <c r="A29" s="7"/>
      <c r="B29" s="65"/>
      <c r="C29" s="57" t="str">
        <f ca="1">_xlfn.CONCAT("proc compNr ", C170)</f>
        <v>proc compNr far</v>
      </c>
      <c r="D29" s="10"/>
    </row>
    <row r="30" spans="1:6" ht="17.100000000000001" customHeight="1" thickBot="1" x14ac:dyDescent="0.3">
      <c r="A30" s="7"/>
      <c r="B30" s="65"/>
      <c r="C30" s="57" t="s">
        <v>116</v>
      </c>
      <c r="D30" s="10"/>
    </row>
    <row r="31" spans="1:6" ht="17.100000000000001" customHeight="1" thickBot="1" x14ac:dyDescent="0.3">
      <c r="A31" s="7"/>
      <c r="B31" s="65"/>
      <c r="C31" s="57" t="s">
        <v>117</v>
      </c>
      <c r="D31" s="10"/>
    </row>
    <row r="32" spans="1:6" ht="17.100000000000001" customHeight="1" thickBot="1" x14ac:dyDescent="0.3">
      <c r="A32" s="7"/>
      <c r="B32" s="65"/>
      <c r="C32" s="57" t="s">
        <v>149</v>
      </c>
      <c r="D32" s="10"/>
    </row>
    <row r="33" spans="1:4" ht="17.100000000000001" customHeight="1" thickBot="1" x14ac:dyDescent="0.3">
      <c r="A33" s="7"/>
      <c r="B33" s="65"/>
      <c r="C33" s="57" t="s">
        <v>175</v>
      </c>
      <c r="D33" s="10"/>
    </row>
    <row r="34" spans="1:4" ht="17.100000000000001" customHeight="1" thickBot="1" x14ac:dyDescent="0.3">
      <c r="A34" s="7"/>
      <c r="B34" s="65"/>
      <c r="C34" s="57" t="s">
        <v>174</v>
      </c>
      <c r="D34" s="10"/>
    </row>
    <row r="35" spans="1:4" ht="17.100000000000001" customHeight="1" thickBot="1" x14ac:dyDescent="0.3">
      <c r="A35" s="7"/>
      <c r="B35" s="65"/>
      <c r="C35" s="57" t="s">
        <v>120</v>
      </c>
      <c r="D35" s="10"/>
    </row>
    <row r="36" spans="1:4" ht="17.100000000000001" customHeight="1" thickBot="1" x14ac:dyDescent="0.3">
      <c r="A36" s="7"/>
      <c r="B36" s="65"/>
      <c r="C36" s="57" t="s">
        <v>121</v>
      </c>
      <c r="D36" s="10"/>
    </row>
    <row r="37" spans="1:4" ht="17.100000000000001" customHeight="1" thickBot="1" x14ac:dyDescent="0.3">
      <c r="A37" s="7"/>
      <c r="B37" s="65"/>
      <c r="C37" s="57" t="s">
        <v>122</v>
      </c>
      <c r="D37" s="10"/>
    </row>
    <row r="38" spans="1:4" ht="17.100000000000001" customHeight="1" thickBot="1" x14ac:dyDescent="0.3">
      <c r="A38" s="7"/>
      <c r="B38" s="65"/>
      <c r="C38" s="57" t="s">
        <v>123</v>
      </c>
      <c r="D38" s="10"/>
    </row>
    <row r="39" spans="1:4" ht="17.100000000000001" customHeight="1" thickBot="1" x14ac:dyDescent="0.3">
      <c r="A39" s="7"/>
      <c r="B39" s="65"/>
      <c r="C39" s="57" t="s">
        <v>124</v>
      </c>
      <c r="D39" s="10"/>
    </row>
    <row r="40" spans="1:4" ht="17.100000000000001" customHeight="1" thickBot="1" x14ac:dyDescent="0.3">
      <c r="A40" s="7"/>
      <c r="B40" s="65"/>
      <c r="C40" s="57" t="s">
        <v>125</v>
      </c>
      <c r="D40" s="10"/>
    </row>
    <row r="41" spans="1:4" ht="17.100000000000001" customHeight="1" thickBot="1" x14ac:dyDescent="0.3">
      <c r="A41" s="7"/>
      <c r="B41" s="65"/>
      <c r="C41" s="57" t="s">
        <v>123</v>
      </c>
      <c r="D41" s="10"/>
    </row>
    <row r="42" spans="1:4" ht="17.100000000000001" customHeight="1" thickBot="1" x14ac:dyDescent="0.3">
      <c r="A42" s="7"/>
      <c r="B42" s="65"/>
      <c r="C42" s="57" t="s">
        <v>126</v>
      </c>
      <c r="D42" s="10"/>
    </row>
    <row r="43" spans="1:4" ht="17.100000000000001" customHeight="1" thickBot="1" x14ac:dyDescent="0.3">
      <c r="A43" s="7"/>
      <c r="B43" s="65"/>
      <c r="C43" s="57" t="s">
        <v>127</v>
      </c>
      <c r="D43" s="10"/>
    </row>
    <row r="44" spans="1:4" ht="17.100000000000001" customHeight="1" thickBot="1" x14ac:dyDescent="0.3">
      <c r="A44" s="7"/>
      <c r="B44" s="65"/>
      <c r="C44" s="57" t="s">
        <v>123</v>
      </c>
      <c r="D44" s="10"/>
    </row>
    <row r="45" spans="1:4" ht="17.100000000000001" customHeight="1" thickBot="1" x14ac:dyDescent="0.3">
      <c r="A45" s="7"/>
      <c r="B45" s="65"/>
      <c r="C45" s="57" t="s">
        <v>128</v>
      </c>
      <c r="D45" s="10"/>
    </row>
    <row r="46" spans="1:4" ht="17.100000000000001" customHeight="1" thickBot="1" x14ac:dyDescent="0.3">
      <c r="A46" s="7"/>
      <c r="B46" s="65"/>
      <c r="C46" s="57" t="s">
        <v>150</v>
      </c>
      <c r="D46" s="10"/>
    </row>
    <row r="47" spans="1:4" ht="17.100000000000001" customHeight="1" thickBot="1" x14ac:dyDescent="0.3">
      <c r="A47" s="7"/>
      <c r="B47" s="65"/>
      <c r="C47" s="57" t="s">
        <v>131</v>
      </c>
      <c r="D47" s="10"/>
    </row>
    <row r="48" spans="1:4" ht="17.100000000000001" customHeight="1" thickBot="1" x14ac:dyDescent="0.3">
      <c r="A48" s="7"/>
      <c r="B48" s="65"/>
      <c r="C48" s="57" t="s">
        <v>129</v>
      </c>
      <c r="D48" s="10"/>
    </row>
    <row r="49" spans="1:4" ht="17.100000000000001" customHeight="1" thickBot="1" x14ac:dyDescent="0.3">
      <c r="A49" s="7"/>
      <c r="B49" s="65"/>
      <c r="C49" s="57" t="s">
        <v>130</v>
      </c>
      <c r="D49" s="10"/>
    </row>
    <row r="50" spans="1:4" ht="17.100000000000001" customHeight="1" thickBot="1" x14ac:dyDescent="0.3">
      <c r="A50" s="7"/>
      <c r="B50" s="65"/>
      <c r="C50" s="57"/>
      <c r="D50" s="10"/>
    </row>
    <row r="51" spans="1:4" ht="17.100000000000001" customHeight="1" thickBot="1" x14ac:dyDescent="0.3">
      <c r="A51" s="7"/>
      <c r="B51" s="65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65"/>
      <c r="C52" s="57" t="s">
        <v>161</v>
      </c>
      <c r="D52" s="10"/>
    </row>
    <row r="53" spans="1:4" ht="17.100000000000001" customHeight="1" thickBot="1" x14ac:dyDescent="0.3">
      <c r="A53" s="7"/>
      <c r="B53" s="65"/>
      <c r="C53" s="57" t="s">
        <v>163</v>
      </c>
      <c r="D53" s="10"/>
    </row>
    <row r="54" spans="1:4" ht="17.100000000000001" customHeight="1" thickBot="1" x14ac:dyDescent="0.3">
      <c r="A54" s="7"/>
      <c r="B54" s="65"/>
      <c r="C54" s="57" t="s">
        <v>162</v>
      </c>
      <c r="D54" s="10"/>
    </row>
    <row r="55" spans="1:4" ht="17.100000000000001" customHeight="1" thickBot="1" x14ac:dyDescent="0.3">
      <c r="A55" s="7"/>
      <c r="B55" s="65"/>
      <c r="C55" s="57"/>
      <c r="D55" s="10"/>
    </row>
    <row r="56" spans="1:4" ht="17.100000000000001" customHeight="1" thickBot="1" x14ac:dyDescent="0.3">
      <c r="A56" s="7"/>
      <c r="B56" s="65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65"/>
      <c r="C60" s="57" t="s">
        <v>52</v>
      </c>
      <c r="D60" s="10"/>
    </row>
    <row r="61" spans="1:4" ht="17.100000000000001" customHeight="1" thickBot="1" x14ac:dyDescent="0.3">
      <c r="A61" s="7"/>
      <c r="B61" s="65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5">
        <v>5</v>
      </c>
      <c r="C62" s="57" t="str">
        <f ca="1">_xlfn.CONCAT("  mov AX, ", E132)</f>
        <v xml:space="preserve">  mov AX, 0D229h</v>
      </c>
      <c r="D62" s="10"/>
    </row>
    <row r="63" spans="1:4" ht="17.100000000000001" customHeight="1" thickBot="1" x14ac:dyDescent="0.3">
      <c r="A63" s="7"/>
      <c r="B63" s="65">
        <v>6</v>
      </c>
      <c r="C63" s="57" t="s">
        <v>71</v>
      </c>
      <c r="D63" s="10"/>
    </row>
    <row r="64" spans="1:4" ht="17.100000000000001" customHeight="1" thickBot="1" x14ac:dyDescent="0.3">
      <c r="A64" s="7"/>
      <c r="B64" s="65">
        <v>7</v>
      </c>
      <c r="C64" s="57" t="s">
        <v>72</v>
      </c>
      <c r="D64" s="10"/>
    </row>
    <row r="65" spans="1:4" ht="17.100000000000001" customHeight="1" thickBot="1" x14ac:dyDescent="0.3">
      <c r="A65" s="7"/>
      <c r="B65" s="65">
        <v>8</v>
      </c>
      <c r="C65" s="57" t="s">
        <v>72</v>
      </c>
      <c r="D65" s="10"/>
    </row>
    <row r="66" spans="1:4" ht="17.100000000000001" customHeight="1" thickBot="1" x14ac:dyDescent="0.3">
      <c r="A66" s="7"/>
      <c r="B66" s="65">
        <v>9</v>
      </c>
      <c r="C66" s="57" t="s">
        <v>73</v>
      </c>
      <c r="D66" s="10"/>
    </row>
    <row r="67" spans="1:4" ht="17.100000000000001" customHeight="1" thickBot="1" x14ac:dyDescent="0.3">
      <c r="A67" s="7"/>
      <c r="B67" s="65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5">
        <v>11</v>
      </c>
      <c r="C68" s="57" t="str">
        <f ca="1">_xlfn.CONCAT( "  MOV DH, BYTE PTR var5 + ", RANDBETWEEN(1, 3) )</f>
        <v xml:space="preserve">  MOV DH, BYTE PTR var5 + 2</v>
      </c>
      <c r="D68" s="10"/>
    </row>
    <row r="69" spans="1:4" ht="17.100000000000001" customHeight="1" thickBot="1" x14ac:dyDescent="0.3">
      <c r="A69" s="7"/>
      <c r="B69" s="65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5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5">
        <v>14</v>
      </c>
      <c r="C71" s="57" t="str">
        <f ca="1">_xlfn.CONCAT( "  MOV CL, ", RANDBETWEEN(1, 3) )</f>
        <v xml:space="preserve">  MOV CL, 1</v>
      </c>
      <c r="D71" s="10"/>
    </row>
    <row r="72" spans="1:4" ht="17.100000000000001" customHeight="1" thickBot="1" x14ac:dyDescent="0.3">
      <c r="A72" s="7"/>
      <c r="B72" s="65">
        <v>15</v>
      </c>
      <c r="C72" s="57" t="str">
        <f ca="1">_xlfn.CONCAT("  ",C160," DX, CL")</f>
        <v xml:space="preserve">  ROL DX, CL</v>
      </c>
      <c r="D72" s="10"/>
    </row>
    <row r="73" spans="1:4" ht="17.100000000000001" customHeight="1" thickBot="1" x14ac:dyDescent="0.3">
      <c r="A73" s="7"/>
      <c r="B73" s="65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5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5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5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5"/>
      <c r="C77" s="57" t="s">
        <v>141</v>
      </c>
      <c r="D77" s="10"/>
    </row>
    <row r="78" spans="1:4" ht="17.100000000000001" customHeight="1" thickBot="1" x14ac:dyDescent="0.3">
      <c r="A78" s="7"/>
      <c r="B78" s="65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5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5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5"/>
      <c r="C81" s="57" t="s">
        <v>165</v>
      </c>
      <c r="D81" s="10"/>
    </row>
    <row r="82" spans="1:7" ht="17.100000000000001" customHeight="1" thickBot="1" x14ac:dyDescent="0.3">
      <c r="A82" s="7"/>
      <c r="B82" s="65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5"/>
      <c r="C83" s="57" t="str">
        <f ca="1">_xlfn.CONCAT("  MOV BX, ", (RANDBETWEEN(0, 3) * 4) )</f>
        <v xml:space="preserve">  MOV BX, 12</v>
      </c>
      <c r="D83" s="10"/>
    </row>
    <row r="84" spans="1:7" ht="17.100000000000001" customHeight="1" thickBot="1" x14ac:dyDescent="0.3">
      <c r="A84" s="7"/>
      <c r="B84" s="65"/>
      <c r="C84" s="57" t="s">
        <v>142</v>
      </c>
      <c r="D84" s="10"/>
    </row>
    <row r="85" spans="1:7" ht="17.100000000000001" customHeight="1" thickBot="1" x14ac:dyDescent="0.3">
      <c r="A85" s="7"/>
      <c r="B85" s="65"/>
      <c r="C85" s="57" t="str">
        <f ca="1">IF(E85="  MOV CX, WORD PTR ES:[DI + 0]", "  MOV CX, WORD PTR ES:[DI]", E85)</f>
        <v xml:space="preserve">  MOV CX, WORD PTR ES:[DI + 1]</v>
      </c>
      <c r="D85" s="10"/>
      <c r="E85" s="62" t="str">
        <f ca="1">_xlfn.CONCAT("  MOV CX, WORD PTR ES:[DI + ", RANDBETWEEN(0, 3), "]")</f>
        <v xml:space="preserve">  MOV CX, WORD PTR ES:[DI + 1]</v>
      </c>
      <c r="F85" s="62"/>
      <c r="G85" s="62"/>
    </row>
    <row r="86" spans="1:7" ht="17.100000000000001" customHeight="1" thickBot="1" x14ac:dyDescent="0.3">
      <c r="A86" s="7"/>
      <c r="B86" s="65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5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5">
        <v>25</v>
      </c>
      <c r="C88" s="57" t="str">
        <f ca="1">_xlfn.CONCAT("  MOV BX, ", (RANDBETWEEN(0, 3) * 4) )</f>
        <v xml:space="preserve">  MOV BX, 8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5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5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6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6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6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6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6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6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6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6"/>
      <c r="C98" s="57" t="str">
        <f ca="1">_xlfn.CONCAT(E98, E121)</f>
        <v xml:space="preserve">  MOV BYTE PTR [BP + 1], 97h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6"/>
      <c r="C99" s="57" t="str">
        <f ca="1">_xlfn.CONCAT("  MOV WORD PTR [BP - ", ABS(G99),"], ", E129)</f>
        <v xml:space="preserve">  MOV WORD PTR [BP - 1], 6EF1h</v>
      </c>
      <c r="D99" s="10"/>
      <c r="E99" s="64" t="str">
        <f ca="1">_xlfn.CONCAT("  MOV WORD PTR [BP - ", G99,"], ")</f>
        <v xml:space="preserve">  MOV WORD PTR [BP - -1],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- 1], </v>
      </c>
      <c r="G99" s="63" cm="1">
        <f t="array" aca="1" ref="G99" ca="1">randNrBetweenWithException(-3, -1, -2)</f>
        <v>-1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6"/>
      <c r="C100" s="57" t="str">
        <f ca="1">_xlfn.CONCAT(E100, E130)</f>
        <v xml:space="preserve">  MOV WORD PTR [BP - 4], 0A062h</v>
      </c>
      <c r="D100" s="10"/>
      <c r="E100" s="64" t="str">
        <f ca="1">IF(F100=E99, REPLACE(F100, 22, 1, "2"), F100)</f>
        <v xml:space="preserve">  MOV WORD PTR [BP - 4],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- 4], </v>
      </c>
      <c r="G100" s="63" cm="1">
        <f t="array" aca="1" ref="G100" ca="1">randNrBetweenWithException(-6, 2, G98, G99)</f>
        <v>-4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6"/>
      <c r="C101" s="57" t="str">
        <f ca="1">_xlfn.CONCAT(F101, E122)</f>
        <v xml:space="preserve">  MOV BYTE PTR [BP - 3], 95h</v>
      </c>
      <c r="D101" s="10"/>
      <c r="E101" s="64" t="str">
        <f ca="1">IF(F101 = E98, REPLACE(F101, 22, 1, "2"), F101)</f>
        <v xml:space="preserve">  MOV BYTE PTR [BP - 3],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- 3], </v>
      </c>
      <c r="G101" s="62" cm="1">
        <f t="array" aca="1" ref="G101" ca="1">randNrBetweenWithException(-7, 3, G98, G99, G100)</f>
        <v>-3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6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6"/>
      <c r="C103" s="57" t="s">
        <v>181</v>
      </c>
      <c r="D103" s="10"/>
    </row>
    <row r="104" spans="1:11" ht="17.100000000000001" customHeight="1" thickBot="1" x14ac:dyDescent="0.3">
      <c r="A104" s="9"/>
      <c r="B104" s="66"/>
      <c r="C104" s="57" t="s">
        <v>169</v>
      </c>
      <c r="D104" s="10"/>
    </row>
    <row r="105" spans="1:11" ht="17.100000000000001" customHeight="1" thickBot="1" x14ac:dyDescent="0.3">
      <c r="A105" s="9"/>
      <c r="B105" s="66"/>
      <c r="C105" s="57" t="s">
        <v>170</v>
      </c>
      <c r="D105" s="10"/>
    </row>
    <row r="106" spans="1:11" ht="17.100000000000001" customHeight="1" thickBot="1" x14ac:dyDescent="0.3">
      <c r="A106" s="9"/>
      <c r="B106" s="66"/>
      <c r="C106" s="57" t="s">
        <v>36</v>
      </c>
      <c r="D106" s="10"/>
    </row>
    <row r="107" spans="1:11" ht="17.100000000000001" customHeight="1" thickBot="1" x14ac:dyDescent="0.3">
      <c r="A107" s="9"/>
      <c r="B107" s="66"/>
      <c r="C107" s="57" t="s">
        <v>35</v>
      </c>
      <c r="D107" s="10"/>
    </row>
    <row r="108" spans="1:11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11" ht="16.5" thickBot="1" x14ac:dyDescent="0.3">
      <c r="A109" s="9"/>
      <c r="B109" s="102"/>
      <c r="C109" s="57" t="s">
        <v>47</v>
      </c>
      <c r="D109" s="10"/>
    </row>
    <row r="110" spans="1:11" ht="16.5" thickBot="1" x14ac:dyDescent="0.3">
      <c r="A110" s="3"/>
      <c r="B110" s="103"/>
      <c r="C110" s="57" t="s">
        <v>48</v>
      </c>
      <c r="D110" s="10"/>
    </row>
    <row r="111" spans="1:11" ht="16.5" thickBot="1" x14ac:dyDescent="0.3">
      <c r="A111" s="1"/>
      <c r="B111" s="65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210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0D2h</v>
      </c>
    </row>
    <row r="118" spans="3:5" x14ac:dyDescent="0.25">
      <c r="C118" s="39" t="s">
        <v>103</v>
      </c>
    </row>
    <row r="119" spans="3:5" x14ac:dyDescent="0.25">
      <c r="C119">
        <f ca="1">RANDBETWEEN(1,255)</f>
        <v>150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96h</v>
      </c>
    </row>
    <row r="120" spans="3:5" x14ac:dyDescent="0.25">
      <c r="C120">
        <f ca="1">RANDBETWEEN(1,255)</f>
        <v>115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73h</v>
      </c>
    </row>
    <row r="121" spans="3:5" x14ac:dyDescent="0.25">
      <c r="C121">
        <f ca="1">RANDBETWEEN(1,255)</f>
        <v>151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97h</v>
      </c>
    </row>
    <row r="122" spans="3:5" x14ac:dyDescent="0.25">
      <c r="C122">
        <f ca="1">RANDBETWEEN(1,255)</f>
        <v>149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95h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11550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2D1Eh</v>
      </c>
    </row>
    <row r="125" spans="3:5" x14ac:dyDescent="0.25">
      <c r="C125">
        <f ca="1">RANDBETWEEN(0, 65535)</f>
        <v>5200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1450h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22026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560Ah</v>
      </c>
    </row>
    <row r="128" spans="3:5" x14ac:dyDescent="0.25">
      <c r="C128">
        <f ca="1">RANDBETWEEN(256, 65535)</f>
        <v>58460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0E45Ch</v>
      </c>
    </row>
    <row r="129" spans="3:5" x14ac:dyDescent="0.25">
      <c r="C129">
        <f ca="1">RANDBETWEEN(256, 65535)</f>
        <v>28401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6EF1h</v>
      </c>
    </row>
    <row r="130" spans="3:5" x14ac:dyDescent="0.25">
      <c r="C130">
        <f ca="1">RANDBETWEEN(256, 65535)</f>
        <v>41058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0A062h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53801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0D229h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3301622221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0C4CAC1CDh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1438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59Eh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1430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1100110011111111b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ROL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11B05-78E7-43E8-80A4-084C18D1BCCA}">
  <sheetPr codeName="Sheet10"/>
  <dimension ref="A1:K171"/>
  <sheetViews>
    <sheetView topLeftCell="B1" zoomScale="85" zoomScaleNormal="85" workbookViewId="0">
      <selection activeCell="E16" sqref="E16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37.42578125" bestFit="1" customWidth="1"/>
    <col min="6" max="6" width="31.42578125" bestFit="1" customWidth="1"/>
    <col min="7" max="11" width="3.570312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1111110011111100b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1410</v>
      </c>
      <c r="D14" s="10"/>
    </row>
    <row r="15" spans="1:4" ht="16.5" customHeight="1" thickBot="1" x14ac:dyDescent="0.3">
      <c r="A15" s="7"/>
      <c r="B15" s="60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E127)</f>
        <v xml:space="preserve">  var1 DW 0C6D4h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E128)</f>
        <v xml:space="preserve">  var2 DW 7D95h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E119)</f>
        <v xml:space="preserve">  var3 DB 6h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E120)</f>
        <v xml:space="preserve">  var4 DB 42h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E134)</f>
        <v xml:space="preserve">  var5 DD 8EBBF4Dh</v>
      </c>
      <c r="D20" s="10"/>
    </row>
    <row r="21" spans="1:4" ht="17.100000000000001" customHeight="1" thickBot="1" x14ac:dyDescent="0.3">
      <c r="A21" s="7"/>
      <c r="B21" s="104"/>
      <c r="C21" s="57" t="s">
        <v>166</v>
      </c>
      <c r="D21" s="10"/>
    </row>
    <row r="22" spans="1:4" ht="17.100000000000001" customHeight="1" thickBot="1" x14ac:dyDescent="0.3">
      <c r="A22" s="7"/>
      <c r="B22" s="60"/>
      <c r="C22" s="57" t="s">
        <v>21</v>
      </c>
      <c r="D22" s="10"/>
    </row>
    <row r="23" spans="1:4" ht="17.100000000000001" customHeight="1" thickBot="1" x14ac:dyDescent="0.3">
      <c r="A23" s="7"/>
      <c r="B23" s="60"/>
      <c r="C23" s="57"/>
      <c r="D23" s="10"/>
    </row>
    <row r="24" spans="1:4" ht="17.100000000000001" customHeight="1" thickBot="1" x14ac:dyDescent="0.3">
      <c r="A24" s="7"/>
      <c r="B24" s="60"/>
      <c r="C24" s="57" t="s">
        <v>171</v>
      </c>
      <c r="D24" s="10"/>
    </row>
    <row r="25" spans="1:4" ht="17.100000000000001" customHeight="1" thickBot="1" x14ac:dyDescent="0.3">
      <c r="A25" s="7"/>
      <c r="B25" s="60"/>
      <c r="C25" s="57" t="s">
        <v>179</v>
      </c>
      <c r="D25" s="10"/>
    </row>
    <row r="26" spans="1:4" ht="17.100000000000001" customHeight="1" thickBot="1" x14ac:dyDescent="0.3">
      <c r="A26" s="7"/>
      <c r="B26" s="60"/>
      <c r="C26" s="57" t="s">
        <v>177</v>
      </c>
      <c r="D26" s="10"/>
    </row>
    <row r="27" spans="1:4" ht="17.100000000000001" customHeight="1" thickBot="1" x14ac:dyDescent="0.3">
      <c r="A27" s="7"/>
      <c r="B27" s="60"/>
      <c r="C27" s="57" t="s">
        <v>178</v>
      </c>
      <c r="D27" s="10"/>
    </row>
    <row r="28" spans="1:4" ht="17.100000000000001" customHeight="1" thickBot="1" x14ac:dyDescent="0.3">
      <c r="A28" s="7"/>
      <c r="B28" s="60"/>
      <c r="C28" s="57" t="s">
        <v>176</v>
      </c>
      <c r="D28" s="10"/>
    </row>
    <row r="29" spans="1:4" ht="17.100000000000001" customHeight="1" thickBot="1" x14ac:dyDescent="0.3">
      <c r="A29" s="7"/>
      <c r="B29" s="60"/>
      <c r="C29" s="57" t="str">
        <f ca="1">_xlfn.CONCAT("proc compNr ", C170)</f>
        <v>proc compNr far</v>
      </c>
      <c r="D29" s="10"/>
    </row>
    <row r="30" spans="1:4" ht="17.100000000000001" customHeight="1" thickBot="1" x14ac:dyDescent="0.3">
      <c r="A30" s="7"/>
      <c r="B30" s="60"/>
      <c r="C30" s="57" t="s">
        <v>116</v>
      </c>
      <c r="D30" s="10"/>
    </row>
    <row r="31" spans="1:4" ht="17.100000000000001" customHeight="1" thickBot="1" x14ac:dyDescent="0.3">
      <c r="A31" s="7"/>
      <c r="B31" s="60"/>
      <c r="C31" s="57" t="s">
        <v>117</v>
      </c>
      <c r="D31" s="10"/>
    </row>
    <row r="32" spans="1:4" ht="17.100000000000001" customHeight="1" thickBot="1" x14ac:dyDescent="0.3">
      <c r="A32" s="7"/>
      <c r="B32" s="60"/>
      <c r="C32" s="57" t="s">
        <v>149</v>
      </c>
      <c r="D32" s="10"/>
    </row>
    <row r="33" spans="1:4" ht="17.100000000000001" customHeight="1" thickBot="1" x14ac:dyDescent="0.3">
      <c r="A33" s="7"/>
      <c r="B33" s="60"/>
      <c r="C33" s="57" t="s">
        <v>175</v>
      </c>
      <c r="D33" s="10"/>
    </row>
    <row r="34" spans="1:4" ht="17.100000000000001" customHeight="1" thickBot="1" x14ac:dyDescent="0.3">
      <c r="A34" s="7"/>
      <c r="B34" s="60"/>
      <c r="C34" s="57" t="s">
        <v>174</v>
      </c>
      <c r="D34" s="10"/>
    </row>
    <row r="35" spans="1:4" ht="17.100000000000001" customHeight="1" thickBot="1" x14ac:dyDescent="0.3">
      <c r="A35" s="7"/>
      <c r="B35" s="60"/>
      <c r="C35" s="57" t="s">
        <v>120</v>
      </c>
      <c r="D35" s="10"/>
    </row>
    <row r="36" spans="1:4" ht="17.100000000000001" customHeight="1" thickBot="1" x14ac:dyDescent="0.3">
      <c r="A36" s="7"/>
      <c r="B36" s="60"/>
      <c r="C36" s="57" t="s">
        <v>121</v>
      </c>
      <c r="D36" s="10"/>
    </row>
    <row r="37" spans="1:4" ht="17.100000000000001" customHeight="1" thickBot="1" x14ac:dyDescent="0.3">
      <c r="A37" s="7"/>
      <c r="B37" s="60"/>
      <c r="C37" s="57" t="s">
        <v>122</v>
      </c>
      <c r="D37" s="10"/>
    </row>
    <row r="38" spans="1:4" ht="17.100000000000001" customHeight="1" thickBot="1" x14ac:dyDescent="0.3">
      <c r="A38" s="7"/>
      <c r="B38" s="60"/>
      <c r="C38" s="57" t="s">
        <v>123</v>
      </c>
      <c r="D38" s="10"/>
    </row>
    <row r="39" spans="1:4" ht="17.100000000000001" customHeight="1" thickBot="1" x14ac:dyDescent="0.3">
      <c r="A39" s="7"/>
      <c r="B39" s="60"/>
      <c r="C39" s="57" t="s">
        <v>124</v>
      </c>
      <c r="D39" s="10"/>
    </row>
    <row r="40" spans="1:4" ht="17.100000000000001" customHeight="1" thickBot="1" x14ac:dyDescent="0.3">
      <c r="A40" s="7"/>
      <c r="B40" s="60"/>
      <c r="C40" s="57" t="s">
        <v>125</v>
      </c>
      <c r="D40" s="10"/>
    </row>
    <row r="41" spans="1:4" ht="17.100000000000001" customHeight="1" thickBot="1" x14ac:dyDescent="0.3">
      <c r="A41" s="7"/>
      <c r="B41" s="60"/>
      <c r="C41" s="57" t="s">
        <v>123</v>
      </c>
      <c r="D41" s="10"/>
    </row>
    <row r="42" spans="1:4" ht="17.100000000000001" customHeight="1" thickBot="1" x14ac:dyDescent="0.3">
      <c r="A42" s="7"/>
      <c r="B42" s="60"/>
      <c r="C42" s="57" t="s">
        <v>126</v>
      </c>
      <c r="D42" s="10"/>
    </row>
    <row r="43" spans="1:4" ht="17.100000000000001" customHeight="1" thickBot="1" x14ac:dyDescent="0.3">
      <c r="A43" s="7"/>
      <c r="B43" s="60"/>
      <c r="C43" s="57" t="s">
        <v>127</v>
      </c>
      <c r="D43" s="10"/>
    </row>
    <row r="44" spans="1:4" ht="17.100000000000001" customHeight="1" thickBot="1" x14ac:dyDescent="0.3">
      <c r="A44" s="7"/>
      <c r="B44" s="60"/>
      <c r="C44" s="57" t="s">
        <v>123</v>
      </c>
      <c r="D44" s="10"/>
    </row>
    <row r="45" spans="1:4" ht="17.100000000000001" customHeight="1" thickBot="1" x14ac:dyDescent="0.3">
      <c r="A45" s="7"/>
      <c r="B45" s="60"/>
      <c r="C45" s="57" t="s">
        <v>128</v>
      </c>
      <c r="D45" s="10"/>
    </row>
    <row r="46" spans="1:4" ht="17.100000000000001" customHeight="1" thickBot="1" x14ac:dyDescent="0.3">
      <c r="A46" s="7"/>
      <c r="B46" s="60"/>
      <c r="C46" s="57" t="s">
        <v>150</v>
      </c>
      <c r="D46" s="10"/>
    </row>
    <row r="47" spans="1:4" ht="17.100000000000001" customHeight="1" thickBot="1" x14ac:dyDescent="0.3">
      <c r="A47" s="7"/>
      <c r="B47" s="60"/>
      <c r="C47" s="57" t="s">
        <v>131</v>
      </c>
      <c r="D47" s="10"/>
    </row>
    <row r="48" spans="1:4" ht="17.100000000000001" customHeight="1" thickBot="1" x14ac:dyDescent="0.3">
      <c r="A48" s="7"/>
      <c r="B48" s="60"/>
      <c r="C48" s="57" t="s">
        <v>129</v>
      </c>
      <c r="D48" s="10"/>
    </row>
    <row r="49" spans="1:4" ht="17.100000000000001" customHeight="1" thickBot="1" x14ac:dyDescent="0.3">
      <c r="A49" s="7"/>
      <c r="B49" s="60"/>
      <c r="C49" s="57" t="s">
        <v>130</v>
      </c>
      <c r="D49" s="10"/>
    </row>
    <row r="50" spans="1:4" ht="17.100000000000001" customHeight="1" thickBot="1" x14ac:dyDescent="0.3">
      <c r="A50" s="7"/>
      <c r="B50" s="60"/>
      <c r="C50" s="57"/>
      <c r="D50" s="10"/>
    </row>
    <row r="51" spans="1:4" ht="17.100000000000001" customHeight="1" thickBot="1" x14ac:dyDescent="0.3">
      <c r="A51" s="7"/>
      <c r="B51" s="60"/>
      <c r="C51" s="57" t="str">
        <f ca="1">_xlfn.CONCAT("proc nuFaceNimic ", C171)</f>
        <v>proc nuFaceNimic far</v>
      </c>
      <c r="D51" s="10"/>
    </row>
    <row r="52" spans="1:4" ht="17.100000000000001" customHeight="1" thickBot="1" x14ac:dyDescent="0.3">
      <c r="A52" s="7"/>
      <c r="B52" s="60"/>
      <c r="C52" s="57" t="s">
        <v>161</v>
      </c>
      <c r="D52" s="10"/>
    </row>
    <row r="53" spans="1:4" ht="17.100000000000001" customHeight="1" thickBot="1" x14ac:dyDescent="0.3">
      <c r="A53" s="7"/>
      <c r="B53" s="60"/>
      <c r="C53" s="57" t="s">
        <v>163</v>
      </c>
      <c r="D53" s="10"/>
    </row>
    <row r="54" spans="1:4" ht="17.100000000000001" customHeight="1" thickBot="1" x14ac:dyDescent="0.3">
      <c r="A54" s="7"/>
      <c r="B54" s="60"/>
      <c r="C54" s="57" t="s">
        <v>162</v>
      </c>
      <c r="D54" s="10"/>
    </row>
    <row r="55" spans="1:4" ht="17.100000000000001" customHeight="1" thickBot="1" x14ac:dyDescent="0.3">
      <c r="A55" s="7"/>
      <c r="B55" s="60"/>
      <c r="C55" s="57"/>
      <c r="D55" s="10"/>
    </row>
    <row r="56" spans="1:4" ht="17.100000000000001" customHeight="1" thickBot="1" x14ac:dyDescent="0.3">
      <c r="A56" s="7"/>
      <c r="B56" s="60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60"/>
      <c r="C60" s="57" t="s">
        <v>52</v>
      </c>
      <c r="D60" s="10"/>
    </row>
    <row r="61" spans="1:4" ht="17.100000000000001" customHeight="1" thickBot="1" x14ac:dyDescent="0.3">
      <c r="A61" s="7"/>
      <c r="B61" s="60">
        <v>4</v>
      </c>
      <c r="C61" s="57" t="s">
        <v>132</v>
      </c>
      <c r="D61" s="10"/>
    </row>
    <row r="62" spans="1:4" ht="17.100000000000001" customHeight="1" thickBot="1" x14ac:dyDescent="0.3">
      <c r="A62" s="7"/>
      <c r="B62" s="60">
        <v>5</v>
      </c>
      <c r="C62" s="57" t="str">
        <f ca="1">_xlfn.CONCAT("  mov AX, ", E132)</f>
        <v xml:space="preserve">  mov AX, 6ED4h</v>
      </c>
      <c r="D62" s="10"/>
    </row>
    <row r="63" spans="1:4" ht="17.100000000000001" customHeight="1" thickBot="1" x14ac:dyDescent="0.3">
      <c r="A63" s="7"/>
      <c r="B63" s="60">
        <v>6</v>
      </c>
      <c r="C63" s="57" t="s">
        <v>71</v>
      </c>
      <c r="D63" s="10"/>
    </row>
    <row r="64" spans="1:4" ht="17.100000000000001" customHeight="1" thickBot="1" x14ac:dyDescent="0.3">
      <c r="A64" s="7"/>
      <c r="B64" s="60">
        <v>7</v>
      </c>
      <c r="C64" s="57" t="s">
        <v>72</v>
      </c>
      <c r="D64" s="10"/>
    </row>
    <row r="65" spans="1:4" ht="17.100000000000001" customHeight="1" thickBot="1" x14ac:dyDescent="0.3">
      <c r="A65" s="7"/>
      <c r="B65" s="60">
        <v>8</v>
      </c>
      <c r="C65" s="57" t="s">
        <v>72</v>
      </c>
      <c r="D65" s="10"/>
    </row>
    <row r="66" spans="1:4" ht="17.100000000000001" customHeight="1" thickBot="1" x14ac:dyDescent="0.3">
      <c r="A66" s="7"/>
      <c r="B66" s="60">
        <v>9</v>
      </c>
      <c r="C66" s="57" t="s">
        <v>73</v>
      </c>
      <c r="D66" s="10"/>
    </row>
    <row r="67" spans="1:4" ht="17.100000000000001" customHeight="1" thickBot="1" x14ac:dyDescent="0.3">
      <c r="A67" s="7"/>
      <c r="B67" s="60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60">
        <v>11</v>
      </c>
      <c r="C68" s="57" t="str">
        <f ca="1">_xlfn.CONCAT( "  MOV DH, BYTE PTR var5 + ", RANDBETWEEN(1, 3) )</f>
        <v xml:space="preserve">  MOV DH, BYTE PTR var5 + 2</v>
      </c>
      <c r="D68" s="10"/>
    </row>
    <row r="69" spans="1:4" ht="17.100000000000001" customHeight="1" thickBot="1" x14ac:dyDescent="0.3">
      <c r="A69" s="7"/>
      <c r="B69" s="60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60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60">
        <v>14</v>
      </c>
      <c r="C71" s="57" t="str">
        <f ca="1">_xlfn.CONCAT( "  MOV CL, ", RANDBETWEEN(1, 3) )</f>
        <v xml:space="preserve">  MOV CL, 2</v>
      </c>
      <c r="D71" s="10"/>
    </row>
    <row r="72" spans="1:4" ht="17.100000000000001" customHeight="1" thickBot="1" x14ac:dyDescent="0.3">
      <c r="A72" s="7"/>
      <c r="B72" s="60">
        <v>15</v>
      </c>
      <c r="C72" s="57" t="str">
        <f ca="1">_xlfn.CONCAT("  ",C160," DX, CL")</f>
        <v xml:space="preserve">  SHR DX, CL</v>
      </c>
      <c r="D72" s="10"/>
    </row>
    <row r="73" spans="1:4" ht="17.100000000000001" customHeight="1" thickBot="1" x14ac:dyDescent="0.3">
      <c r="A73" s="7"/>
      <c r="B73" s="60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60">
        <v>17</v>
      </c>
      <c r="C74" s="57" t="s">
        <v>27</v>
      </c>
      <c r="D74" s="10"/>
    </row>
    <row r="75" spans="1:4" ht="17.100000000000001" customHeight="1" thickBot="1" x14ac:dyDescent="0.3">
      <c r="A75" s="7"/>
      <c r="B75" s="60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60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60"/>
      <c r="C77" s="57" t="s">
        <v>141</v>
      </c>
      <c r="D77" s="10"/>
    </row>
    <row r="78" spans="1:4" ht="17.100000000000001" customHeight="1" thickBot="1" x14ac:dyDescent="0.3">
      <c r="A78" s="7"/>
      <c r="B78" s="60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60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60">
        <v>22</v>
      </c>
      <c r="C80" s="57" t="s">
        <v>146</v>
      </c>
      <c r="D80" s="10"/>
    </row>
    <row r="81" spans="1:7" ht="17.100000000000001" customHeight="1" thickBot="1" x14ac:dyDescent="0.3">
      <c r="A81" s="7"/>
      <c r="B81" s="60"/>
      <c r="C81" s="57" t="s">
        <v>165</v>
      </c>
      <c r="D81" s="10"/>
    </row>
    <row r="82" spans="1:7" ht="17.100000000000001" customHeight="1" thickBot="1" x14ac:dyDescent="0.3">
      <c r="A82" s="7"/>
      <c r="B82" s="60">
        <v>23</v>
      </c>
      <c r="C82" s="57" t="s">
        <v>143</v>
      </c>
      <c r="D82" s="10"/>
    </row>
    <row r="83" spans="1:7" ht="17.100000000000001" customHeight="1" thickBot="1" x14ac:dyDescent="0.3">
      <c r="A83" s="7"/>
      <c r="B83" s="60"/>
      <c r="C83" s="57" t="str">
        <f ca="1">_xlfn.CONCAT("  MOV BX, ", (RANDBETWEEN(0, 3) * 4) )</f>
        <v xml:space="preserve">  MOV BX, 4</v>
      </c>
      <c r="D83" s="10"/>
    </row>
    <row r="84" spans="1:7" ht="17.100000000000001" customHeight="1" thickBot="1" x14ac:dyDescent="0.3">
      <c r="A84" s="7"/>
      <c r="B84" s="60"/>
      <c r="C84" s="57" t="s">
        <v>142</v>
      </c>
      <c r="D84" s="10"/>
    </row>
    <row r="85" spans="1:7" ht="17.100000000000001" customHeight="1" thickBot="1" x14ac:dyDescent="0.3">
      <c r="A85" s="7"/>
      <c r="B85" s="60"/>
      <c r="C85" s="57" t="str">
        <f ca="1">IF(E85="  MOV CX, WORD PTR ES:[DI + 0]", "  MOV CX, WORD PTR ES:[DI]", E85)</f>
        <v xml:space="preserve">  MOV CX, WORD PTR ES:[DI + 1]</v>
      </c>
      <c r="D85" s="10"/>
      <c r="E85" s="62" t="str">
        <f ca="1">_xlfn.CONCAT("  MOV CX, WORD PTR ES:[DI + ", RANDBETWEEN(0, 3), "]")</f>
        <v xml:space="preserve">  MOV CX, WORD PTR ES:[DI + 1]</v>
      </c>
      <c r="F85" s="62"/>
      <c r="G85" s="62"/>
    </row>
    <row r="86" spans="1:7" ht="17.100000000000001" customHeight="1" thickBot="1" x14ac:dyDescent="0.3">
      <c r="A86" s="7"/>
      <c r="B86" s="60"/>
      <c r="C86" s="57" t="s">
        <v>164</v>
      </c>
      <c r="D86" s="10"/>
      <c r="E86" s="62"/>
      <c r="F86" s="62"/>
      <c r="G86" s="62"/>
    </row>
    <row r="87" spans="1:7" ht="17.100000000000001" customHeight="1" thickBot="1" x14ac:dyDescent="0.3">
      <c r="A87" s="7"/>
      <c r="B87" s="60">
        <v>24</v>
      </c>
      <c r="C87" s="57" t="s">
        <v>144</v>
      </c>
      <c r="D87" s="10"/>
      <c r="E87" s="62"/>
      <c r="F87" s="62"/>
      <c r="G87" s="62"/>
    </row>
    <row r="88" spans="1:7" ht="17.100000000000001" customHeight="1" thickBot="1" x14ac:dyDescent="0.3">
      <c r="A88" s="7"/>
      <c r="B88" s="60">
        <v>25</v>
      </c>
      <c r="C88" s="57" t="str">
        <f ca="1">_xlfn.CONCAT("  MOV BX, ", (RANDBETWEEN(0, 3) * 4) )</f>
        <v xml:space="preserve">  MOV BX, 12</v>
      </c>
      <c r="D88" s="10"/>
      <c r="E88" s="62"/>
      <c r="F88" s="62"/>
      <c r="G88" s="62"/>
    </row>
    <row r="89" spans="1:7" ht="17.100000000000001" customHeight="1" thickBot="1" x14ac:dyDescent="0.3">
      <c r="A89" s="7"/>
      <c r="B89" s="60">
        <v>26</v>
      </c>
      <c r="C89" s="57" t="s">
        <v>142</v>
      </c>
      <c r="D89" s="10"/>
      <c r="E89" s="62"/>
      <c r="F89" s="62"/>
      <c r="G89" s="62"/>
    </row>
    <row r="90" spans="1:7" ht="17.100000000000001" customHeight="1" thickBot="1" x14ac:dyDescent="0.3">
      <c r="A90" s="7"/>
      <c r="B90" s="60"/>
      <c r="C90" s="57" t="str">
        <f ca="1">IF(E90="  MOV CX, WORD PTR ES:[DI + 0]", "  MOV CX, WORD PTR ES:[DI]", E90)</f>
        <v xml:space="preserve">  MOV CX, WORD PTR ES:[DI + 3]</v>
      </c>
      <c r="D90" s="10"/>
      <c r="E90" s="62" t="str">
        <f ca="1">_xlfn.CONCAT("  MOV CX, WORD PTR ES:[DI + ", RANDBETWEEN(0, 3), "]")</f>
        <v xml:space="preserve">  MOV CX, WORD PTR ES:[DI + 3]</v>
      </c>
      <c r="F90" s="62"/>
      <c r="G90" s="62"/>
    </row>
    <row r="91" spans="1:7" ht="17.100000000000001" customHeight="1" thickBot="1" x14ac:dyDescent="0.3">
      <c r="A91" s="9"/>
      <c r="B91" s="61"/>
      <c r="C91" s="57" t="s">
        <v>167</v>
      </c>
      <c r="D91" s="10"/>
      <c r="E91" s="62"/>
      <c r="F91" s="62"/>
      <c r="G91" s="62"/>
    </row>
    <row r="92" spans="1:7" ht="17.100000000000001" customHeight="1" thickBot="1" x14ac:dyDescent="0.3">
      <c r="A92" s="9"/>
      <c r="B92" s="61"/>
      <c r="C92" s="57" t="s">
        <v>156</v>
      </c>
      <c r="D92" s="10"/>
      <c r="E92" s="62"/>
      <c r="F92" s="62"/>
      <c r="G92" s="62"/>
    </row>
    <row r="93" spans="1:7" ht="17.100000000000001" customHeight="1" thickBot="1" x14ac:dyDescent="0.3">
      <c r="A93" s="9"/>
      <c r="B93" s="61"/>
      <c r="C93" s="57" t="s">
        <v>157</v>
      </c>
      <c r="D93" s="10"/>
      <c r="E93" s="62"/>
      <c r="F93" s="62"/>
      <c r="G93" s="62"/>
    </row>
    <row r="94" spans="1:7" ht="17.100000000000001" customHeight="1" thickBot="1" x14ac:dyDescent="0.3">
      <c r="A94" s="9"/>
      <c r="B94" s="61"/>
      <c r="C94" s="57" t="s">
        <v>168</v>
      </c>
      <c r="D94" s="10"/>
      <c r="E94" s="62"/>
      <c r="F94" s="63"/>
      <c r="G94" s="62"/>
    </row>
    <row r="95" spans="1:7" ht="17.100000000000001" customHeight="1" thickBot="1" x14ac:dyDescent="0.3">
      <c r="A95" s="9"/>
      <c r="B95" s="61"/>
      <c r="C95" s="57" t="s">
        <v>158</v>
      </c>
      <c r="D95" s="10"/>
      <c r="E95" s="62"/>
      <c r="F95" s="62"/>
      <c r="G95" s="62"/>
    </row>
    <row r="96" spans="1:7" ht="17.100000000000001" customHeight="1" thickBot="1" x14ac:dyDescent="0.3">
      <c r="A96" s="9"/>
      <c r="B96" s="61"/>
      <c r="C96" s="57" t="s">
        <v>159</v>
      </c>
      <c r="D96" s="10"/>
      <c r="E96" s="64" t="s">
        <v>182</v>
      </c>
      <c r="F96" s="64" t="s">
        <v>183</v>
      </c>
      <c r="G96" s="62"/>
    </row>
    <row r="97" spans="1:11" ht="17.100000000000001" customHeight="1" thickBot="1" x14ac:dyDescent="0.3">
      <c r="A97" s="9"/>
      <c r="B97" s="61"/>
      <c r="C97" s="57" t="s">
        <v>180</v>
      </c>
      <c r="D97" s="10"/>
      <c r="E97" s="64"/>
      <c r="F97" s="64"/>
      <c r="G97" s="62"/>
    </row>
    <row r="98" spans="1:11" ht="17.100000000000001" customHeight="1" thickBot="1" x14ac:dyDescent="0.3">
      <c r="A98" s="9"/>
      <c r="B98" s="61"/>
      <c r="C98" s="57" t="str">
        <f ca="1">_xlfn.CONCAT(E98, E121)</f>
        <v xml:space="preserve">  MOV BYTE PTR [BP + 1], 90h</v>
      </c>
      <c r="D98" s="10"/>
      <c r="E98" s="64" t="str">
        <f>_xlfn.CONCAT("  MOV BYTE PTR [BP + ", G98,"], ")</f>
        <v xml:space="preserve">  MOV BYTE PTR [BP + 1], </v>
      </c>
      <c r="F98" s="64"/>
      <c r="G98" s="62">
        <v>1</v>
      </c>
      <c r="H98" s="62"/>
      <c r="I98" s="62"/>
      <c r="J98" s="62"/>
      <c r="K98" s="62"/>
    </row>
    <row r="99" spans="1:11" ht="17.100000000000001" customHeight="1" thickBot="1" x14ac:dyDescent="0.3">
      <c r="A99" s="9"/>
      <c r="B99" s="61"/>
      <c r="C99" s="57" t="str">
        <f ca="1">_xlfn.CONCAT("  MOV WORD PTR [BP - ", ABS(G99),"], ", E129)</f>
        <v xml:space="preserve">  MOV WORD PTR [BP - 3], 39FFh</v>
      </c>
      <c r="D99" s="10"/>
      <c r="E99" s="64" t="str">
        <f ca="1">_xlfn.CONCAT("  MOV WORD PTR [BP - ", G99,"], ")</f>
        <v xml:space="preserve">  MOV WORD PTR [BP - -3], </v>
      </c>
      <c r="F99" s="64" t="str" cm="1">
        <f t="array" aca="1" ref="F99" ca="1">_xlfn.IFS( G99 &lt; 0, _xlfn.CONCAT( "  MOV WORD PTR [BP - ", ABS(G99), "], " ), G99 = 0, "  MOV WORD PTR [BP], ", G99 &gt; 0, _xlfn.CONCAT( "  MOV WORD PTR [BP + ", G99, "], " ) )</f>
        <v xml:space="preserve">  MOV WORD PTR [BP - 3], </v>
      </c>
      <c r="G99" s="63" cm="1">
        <f t="array" aca="1" ref="G99" ca="1">randNrBetweenWithException(-3, -1, -2)</f>
        <v>-3</v>
      </c>
      <c r="H99" s="62"/>
      <c r="I99" s="62"/>
      <c r="J99" s="62"/>
      <c r="K99" s="62"/>
    </row>
    <row r="100" spans="1:11" ht="17.100000000000001" customHeight="1" thickBot="1" x14ac:dyDescent="0.3">
      <c r="A100" s="9"/>
      <c r="B100" s="61"/>
      <c r="C100" s="57" t="str">
        <f ca="1">_xlfn.CONCAT(E100, E130)</f>
        <v xml:space="preserve">  MOV WORD PTR [BP - 1], 58ADh</v>
      </c>
      <c r="D100" s="10"/>
      <c r="E100" s="64" t="str">
        <f ca="1">IF(F100=E99, REPLACE(F100, 22, 1, "2"), F100)</f>
        <v xml:space="preserve">  MOV WORD PTR [BP - 1], </v>
      </c>
      <c r="F100" s="64" t="str" cm="1">
        <f t="array" aca="1" ref="F100" ca="1">_xlfn.IFS( G100 &lt; 0, _xlfn.CONCAT( "  MOV WORD PTR [BP - ", ABS(G100), "], " ), G100 = 0, "  MOV WORD PTR [BP], ", G100 &gt; 0, _xlfn.CONCAT( "  MOV WORD PTR [BP + ", G100, "], " ) )</f>
        <v xml:space="preserve">  MOV WORD PTR [BP - 1], </v>
      </c>
      <c r="G100" s="63" cm="1">
        <f t="array" aca="1" ref="G100" ca="1">randNrBetweenWithException(-6, 2, G98, G99)</f>
        <v>-1</v>
      </c>
      <c r="H100" s="62"/>
      <c r="I100" s="62"/>
      <c r="J100" s="62"/>
      <c r="K100" s="62"/>
    </row>
    <row r="101" spans="1:11" ht="17.100000000000001" customHeight="1" thickBot="1" x14ac:dyDescent="0.3">
      <c r="A101" s="9"/>
      <c r="B101" s="61"/>
      <c r="C101" s="57" t="str">
        <f ca="1">_xlfn.CONCAT(F101, E122)</f>
        <v xml:space="preserve">  MOV BYTE PTR [BP - 4], 0A7h</v>
      </c>
      <c r="D101" s="10"/>
      <c r="E101" s="64" t="str">
        <f ca="1">IF(F101 = E98, REPLACE(F101, 22, 1, "2"), F101)</f>
        <v xml:space="preserve">  MOV BYTE PTR [BP - 4], </v>
      </c>
      <c r="F101" s="64" t="str" cm="1">
        <f t="array" aca="1" ref="F101" ca="1">_xlfn.IFS( G101 &lt; 0, _xlfn.CONCAT( "  MOV BYTE PTR [BP - ", ABS(G101), "], " ), G101 = 0, "  MOV BYTE PTR [BP], ", G101 &gt; 0, _xlfn.CONCAT( "  MOV BYTE PTR [BP + ", G101, "], " ) )</f>
        <v xml:space="preserve">  MOV BYTE PTR [BP - 4], </v>
      </c>
      <c r="G101" s="62" cm="1">
        <f t="array" aca="1" ref="G101" ca="1">randNrBetweenWithException(-7, -3, G98, G99, G100)</f>
        <v>-4</v>
      </c>
      <c r="H101" s="62"/>
      <c r="I101" s="62"/>
      <c r="J101" s="62"/>
      <c r="K101" s="62"/>
    </row>
    <row r="102" spans="1:11" ht="17.100000000000001" customHeight="1" thickBot="1" x14ac:dyDescent="0.3">
      <c r="A102" s="9"/>
      <c r="B102" s="61"/>
      <c r="C102" s="57" t="s">
        <v>160</v>
      </c>
      <c r="D102" s="10"/>
      <c r="E102" s="62"/>
      <c r="F102" s="62"/>
      <c r="G102" s="62"/>
    </row>
    <row r="103" spans="1:11" ht="17.100000000000001" customHeight="1" thickBot="1" x14ac:dyDescent="0.3">
      <c r="A103" s="9"/>
      <c r="B103" s="61"/>
      <c r="C103" s="57" t="s">
        <v>181</v>
      </c>
      <c r="D103" s="10"/>
    </row>
    <row r="104" spans="1:11" ht="17.100000000000001" customHeight="1" thickBot="1" x14ac:dyDescent="0.3">
      <c r="A104" s="9"/>
      <c r="B104" s="61"/>
      <c r="C104" s="57" t="s">
        <v>169</v>
      </c>
      <c r="D104" s="10"/>
    </row>
    <row r="105" spans="1:11" ht="17.100000000000001" customHeight="1" thickBot="1" x14ac:dyDescent="0.3">
      <c r="A105" s="9"/>
      <c r="B105" s="61"/>
      <c r="C105" s="57" t="s">
        <v>170</v>
      </c>
      <c r="D105" s="10"/>
    </row>
    <row r="106" spans="1:11" ht="17.100000000000001" customHeight="1" thickBot="1" x14ac:dyDescent="0.3">
      <c r="A106" s="9"/>
      <c r="B106" s="61"/>
      <c r="C106" s="57" t="s">
        <v>36</v>
      </c>
      <c r="D106" s="10"/>
    </row>
    <row r="107" spans="1:11" ht="17.100000000000001" customHeight="1" thickBot="1" x14ac:dyDescent="0.3">
      <c r="A107" s="9"/>
      <c r="B107" s="61"/>
      <c r="C107" s="57" t="s">
        <v>35</v>
      </c>
      <c r="D107" s="10"/>
    </row>
    <row r="108" spans="1:11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11" ht="16.5" thickBot="1" x14ac:dyDescent="0.3">
      <c r="A109" s="9"/>
      <c r="B109" s="102"/>
      <c r="C109" s="57" t="s">
        <v>47</v>
      </c>
      <c r="D109" s="10"/>
    </row>
    <row r="110" spans="1:11" ht="16.5" thickBot="1" x14ac:dyDescent="0.3">
      <c r="A110" s="3"/>
      <c r="B110" s="103"/>
      <c r="C110" s="57" t="s">
        <v>48</v>
      </c>
      <c r="D110" s="10"/>
    </row>
    <row r="111" spans="1:11" ht="16.5" thickBot="1" x14ac:dyDescent="0.3">
      <c r="A111" s="1"/>
      <c r="B111" s="60"/>
      <c r="C111" s="57" t="s">
        <v>23</v>
      </c>
      <c r="D111" s="1"/>
    </row>
    <row r="112" spans="1:11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0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0h</v>
      </c>
    </row>
    <row r="118" spans="3:5" x14ac:dyDescent="0.25">
      <c r="C118" s="39" t="s">
        <v>103</v>
      </c>
    </row>
    <row r="119" spans="3:5" x14ac:dyDescent="0.25">
      <c r="C119">
        <f ca="1">RANDBETWEEN(1,255)</f>
        <v>6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6h</v>
      </c>
    </row>
    <row r="120" spans="3:5" x14ac:dyDescent="0.25">
      <c r="C120">
        <f ca="1">RANDBETWEEN(1,255)</f>
        <v>66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42h</v>
      </c>
    </row>
    <row r="121" spans="3:5" x14ac:dyDescent="0.25">
      <c r="C121">
        <f ca="1">RANDBETWEEN(1,255)</f>
        <v>144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90h</v>
      </c>
    </row>
    <row r="122" spans="3:5" x14ac:dyDescent="0.25">
      <c r="C122">
        <f ca="1">RANDBETWEEN(1,255)</f>
        <v>167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0A7h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53242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0CFFAh</v>
      </c>
    </row>
    <row r="125" spans="3:5" x14ac:dyDescent="0.25">
      <c r="C125">
        <f ca="1">RANDBETWEEN(0, 65535)</f>
        <v>11287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2C17h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50900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0C6D4h</v>
      </c>
    </row>
    <row r="128" spans="3:5" x14ac:dyDescent="0.25">
      <c r="C128">
        <f ca="1">RANDBETWEEN(256, 65535)</f>
        <v>32149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7D95h</v>
      </c>
    </row>
    <row r="129" spans="3:5" x14ac:dyDescent="0.25">
      <c r="C129">
        <f ca="1">RANDBETWEEN(256, 65535)</f>
        <v>14847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39FFh</v>
      </c>
    </row>
    <row r="130" spans="3:5" x14ac:dyDescent="0.25">
      <c r="C130">
        <f ca="1">RANDBETWEEN(256, 65535)</f>
        <v>22701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58ADh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28372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6ED4h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149667661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8EBBF4Dh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1418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58Ah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1410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1111110011111100b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SHR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far</v>
      </c>
    </row>
    <row r="171" spans="3:3" x14ac:dyDescent="0.25">
      <c r="C171" t="str" cm="1">
        <f t="array" aca="1" ref="C171" ca="1">INDEX($C$166:$C$167, RANDBETWEEN(1, COUNTA($C$166:$C$167)), 1)</f>
        <v>far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8AE3-710D-4AEA-9475-D522A694C1C6}">
  <sheetPr codeName="Sheet9"/>
  <dimension ref="A1:E100"/>
  <sheetViews>
    <sheetView topLeftCell="A25" workbookViewId="0">
      <selection activeCell="G39" sqref="G3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43" t="s">
        <v>5</v>
      </c>
      <c r="C2" s="44" t="s">
        <v>14</v>
      </c>
      <c r="D2" s="10"/>
    </row>
    <row r="3" spans="1:4" ht="16.5" thickBot="1" x14ac:dyDescent="0.3">
      <c r="A3" s="8"/>
      <c r="B3" s="45"/>
      <c r="C3" s="46" t="s">
        <v>99</v>
      </c>
      <c r="D3" s="10"/>
    </row>
    <row r="4" spans="1:4" ht="16.5" thickBot="1" x14ac:dyDescent="0.3">
      <c r="A4" s="8"/>
      <c r="B4" s="45"/>
      <c r="C4" s="47" t="s">
        <v>100</v>
      </c>
      <c r="D4" s="10"/>
    </row>
    <row r="5" spans="1:4" ht="16.5" thickBot="1" x14ac:dyDescent="0.3">
      <c r="A5" s="8"/>
      <c r="B5" s="45"/>
      <c r="C5" s="46" t="s">
        <v>98</v>
      </c>
      <c r="D5" s="10"/>
    </row>
    <row r="6" spans="1:4" ht="15.75" thickBot="1" x14ac:dyDescent="0.3">
      <c r="A6" s="8"/>
      <c r="B6" s="45"/>
      <c r="C6" s="48"/>
      <c r="D6" s="10"/>
    </row>
    <row r="7" spans="1:4" ht="16.5" thickBot="1" x14ac:dyDescent="0.3">
      <c r="A7" s="8"/>
      <c r="B7" s="45"/>
      <c r="C7" s="49" t="str">
        <f ca="1">_xlfn.CONCAT("masca equ ", C89)</f>
        <v>masca equ 1010101010101010b</v>
      </c>
      <c r="D7" s="10"/>
    </row>
    <row r="8" spans="1:4" ht="15.75" thickBot="1" x14ac:dyDescent="0.3">
      <c r="A8" s="8"/>
      <c r="B8" s="45"/>
      <c r="C8" s="48"/>
      <c r="D8" s="10"/>
    </row>
    <row r="9" spans="1:4" ht="16.5" thickBot="1" x14ac:dyDescent="0.3">
      <c r="A9" s="8"/>
      <c r="B9" s="45"/>
      <c r="C9" s="46" t="s">
        <v>89</v>
      </c>
      <c r="D9" s="10"/>
    </row>
    <row r="10" spans="1:4" ht="16.5" thickBot="1" x14ac:dyDescent="0.3">
      <c r="A10" s="8"/>
      <c r="B10" s="45">
        <v>1</v>
      </c>
      <c r="C10" s="46" t="str">
        <f ca="1">_xlfn.CONCAT(".stack ", C77)</f>
        <v>.stack 1520</v>
      </c>
      <c r="D10" s="10"/>
    </row>
    <row r="11" spans="1:4" ht="16.5" customHeight="1" thickBot="1" x14ac:dyDescent="0.3">
      <c r="A11" s="7"/>
      <c r="B11" s="50"/>
      <c r="C11" s="46" t="s">
        <v>16</v>
      </c>
      <c r="D11" s="10"/>
    </row>
    <row r="12" spans="1:4" ht="17.100000000000001" customHeight="1" thickBot="1" x14ac:dyDescent="0.3">
      <c r="A12" s="7"/>
      <c r="B12" s="105">
        <v>2</v>
      </c>
      <c r="C12" s="46" t="str">
        <f ca="1">_xlfn.CONCAT("  var1 DW ", E68)</f>
        <v xml:space="preserve">  var1 DW 0D527h</v>
      </c>
      <c r="D12" s="10"/>
    </row>
    <row r="13" spans="1:4" ht="17.100000000000001" customHeight="1" thickBot="1" x14ac:dyDescent="0.3">
      <c r="A13" s="7"/>
      <c r="B13" s="105"/>
      <c r="C13" s="46" t="str">
        <f ca="1">_xlfn.CONCAT("  var2 DW ", E69)</f>
        <v xml:space="preserve">  var2 DW 48Ch</v>
      </c>
      <c r="D13" s="10"/>
    </row>
    <row r="14" spans="1:4" ht="17.100000000000001" customHeight="1" thickBot="1" x14ac:dyDescent="0.3">
      <c r="A14" s="7"/>
      <c r="B14" s="105"/>
      <c r="C14" s="46" t="str">
        <f ca="1">_xlfn.CONCAT("  var3 DD ", E73)</f>
        <v xml:space="preserve">  var3 DD 266F480Dh</v>
      </c>
      <c r="D14" s="10"/>
    </row>
    <row r="15" spans="1:4" ht="17.100000000000001" customHeight="1" thickBot="1" x14ac:dyDescent="0.3">
      <c r="A15" s="7"/>
      <c r="B15" s="105"/>
      <c r="C15" s="46" t="str">
        <f ca="1">_xlfn.CONCAT("  var4 DB ", E63)</f>
        <v xml:space="preserve">  var4 DB 8Ch</v>
      </c>
      <c r="D15" s="10"/>
    </row>
    <row r="16" spans="1:4" ht="17.100000000000001" customHeight="1" thickBot="1" x14ac:dyDescent="0.3">
      <c r="A16" s="7"/>
      <c r="B16" s="105"/>
      <c r="C16" s="46" t="s">
        <v>90</v>
      </c>
      <c r="D16" s="10"/>
    </row>
    <row r="17" spans="1:4" ht="17.100000000000001" customHeight="1" thickBot="1" x14ac:dyDescent="0.3">
      <c r="A17" s="7"/>
      <c r="B17" s="50"/>
      <c r="C17" s="46" t="s">
        <v>21</v>
      </c>
      <c r="D17" s="10"/>
    </row>
    <row r="18" spans="1:4" ht="17.100000000000001" customHeight="1" thickBot="1" x14ac:dyDescent="0.3">
      <c r="A18" s="7"/>
      <c r="B18" s="50"/>
      <c r="C18" s="51" t="s">
        <v>22</v>
      </c>
      <c r="D18" s="10"/>
    </row>
    <row r="19" spans="1:4" ht="17.100000000000001" customHeight="1" thickBot="1" x14ac:dyDescent="0.3">
      <c r="A19" s="7"/>
      <c r="B19" s="105">
        <v>3</v>
      </c>
      <c r="C19" s="51" t="s">
        <v>51</v>
      </c>
      <c r="D19" s="10"/>
    </row>
    <row r="20" spans="1:4" ht="17.100000000000001" customHeight="1" thickBot="1" x14ac:dyDescent="0.3">
      <c r="A20" s="7"/>
      <c r="B20" s="105"/>
      <c r="C20" s="46" t="s">
        <v>92</v>
      </c>
      <c r="D20" s="10"/>
    </row>
    <row r="21" spans="1:4" ht="17.100000000000001" customHeight="1" thickBot="1" x14ac:dyDescent="0.3">
      <c r="A21" s="7"/>
      <c r="B21" s="105"/>
      <c r="C21" s="46" t="s">
        <v>93</v>
      </c>
      <c r="D21" s="10"/>
    </row>
    <row r="22" spans="1:4" ht="17.100000000000001" customHeight="1" thickBot="1" x14ac:dyDescent="0.3">
      <c r="A22" s="7"/>
      <c r="B22" s="50"/>
      <c r="C22" s="51" t="s">
        <v>52</v>
      </c>
      <c r="D22" s="10"/>
    </row>
    <row r="23" spans="1:4" ht="17.100000000000001" customHeight="1" thickBot="1" x14ac:dyDescent="0.3">
      <c r="A23" s="7"/>
      <c r="B23" s="50">
        <v>4</v>
      </c>
      <c r="C23" s="46" t="s">
        <v>91</v>
      </c>
      <c r="D23" s="10"/>
    </row>
    <row r="24" spans="1:4" ht="17.100000000000001" customHeight="1" thickBot="1" x14ac:dyDescent="0.3">
      <c r="A24" s="7"/>
      <c r="B24" s="50">
        <v>5</v>
      </c>
      <c r="C24" s="46" t="str">
        <f ca="1">_xlfn.CONCAT("  mov AX, ", E71)</f>
        <v xml:space="preserve">  mov AX, 3BEBh</v>
      </c>
      <c r="D24" s="10"/>
    </row>
    <row r="25" spans="1:4" ht="17.100000000000001" customHeight="1" thickBot="1" x14ac:dyDescent="0.3">
      <c r="A25" s="7"/>
      <c r="B25" s="50">
        <v>6</v>
      </c>
      <c r="C25" s="46" t="s">
        <v>71</v>
      </c>
      <c r="D25" s="10"/>
    </row>
    <row r="26" spans="1:4" ht="17.100000000000001" customHeight="1" thickBot="1" x14ac:dyDescent="0.3">
      <c r="A26" s="7"/>
      <c r="B26" s="50">
        <v>7</v>
      </c>
      <c r="C26" s="46" t="s">
        <v>72</v>
      </c>
      <c r="D26" s="10"/>
    </row>
    <row r="27" spans="1:4" ht="17.100000000000001" customHeight="1" thickBot="1" x14ac:dyDescent="0.3">
      <c r="A27" s="7"/>
      <c r="B27" s="50">
        <v>8</v>
      </c>
      <c r="C27" s="46" t="s">
        <v>72</v>
      </c>
      <c r="D27" s="10"/>
    </row>
    <row r="28" spans="1:4" ht="17.100000000000001" customHeight="1" thickBot="1" x14ac:dyDescent="0.3">
      <c r="A28" s="7"/>
      <c r="B28" s="50">
        <v>9</v>
      </c>
      <c r="C28" s="46" t="s">
        <v>73</v>
      </c>
      <c r="D28" s="10"/>
    </row>
    <row r="29" spans="1:4" ht="17.100000000000001" customHeight="1" thickBot="1" x14ac:dyDescent="0.3">
      <c r="A29" s="7"/>
      <c r="B29" s="50">
        <v>10</v>
      </c>
      <c r="C29" s="46" t="s">
        <v>74</v>
      </c>
      <c r="D29" s="10"/>
    </row>
    <row r="30" spans="1:4" ht="17.100000000000001" customHeight="1" thickBot="1" x14ac:dyDescent="0.3">
      <c r="A30" s="7"/>
      <c r="B30" s="50">
        <v>11</v>
      </c>
      <c r="C30" s="46" t="s">
        <v>94</v>
      </c>
      <c r="D30" s="10"/>
    </row>
    <row r="31" spans="1:4" ht="17.100000000000001" customHeight="1" thickBot="1" x14ac:dyDescent="0.3">
      <c r="A31" s="7"/>
      <c r="B31" s="50">
        <v>12</v>
      </c>
      <c r="C31" s="46" t="s">
        <v>95</v>
      </c>
      <c r="D31" s="10"/>
    </row>
    <row r="32" spans="1:4" ht="17.100000000000001" customHeight="1" thickBot="1" x14ac:dyDescent="0.3">
      <c r="A32" s="7"/>
      <c r="B32" s="50">
        <v>13</v>
      </c>
      <c r="C32" s="46" t="s">
        <v>96</v>
      </c>
      <c r="D32" s="10"/>
    </row>
    <row r="33" spans="1:4" ht="17.100000000000001" customHeight="1" thickBot="1" x14ac:dyDescent="0.3">
      <c r="A33" s="7"/>
      <c r="B33" s="50">
        <v>14</v>
      </c>
      <c r="C33" s="46" t="str">
        <f ca="1">_xlfn.CONCAT( "  MOV CL, ", RANDBETWEEN(1, 3) )</f>
        <v xml:space="preserve">  MOV CL, 2</v>
      </c>
      <c r="D33" s="10"/>
    </row>
    <row r="34" spans="1:4" ht="17.100000000000001" customHeight="1" thickBot="1" x14ac:dyDescent="0.3">
      <c r="A34" s="7"/>
      <c r="B34" s="50"/>
      <c r="C34" s="46" t="str">
        <f ca="1">_xlfn.CONCAT("  ",C97," BX, CL")</f>
        <v xml:space="preserve">  ROR BX, CL</v>
      </c>
      <c r="D34" s="10"/>
    </row>
    <row r="35" spans="1:4" ht="17.100000000000001" customHeight="1" thickBot="1" x14ac:dyDescent="0.3">
      <c r="A35" s="7"/>
      <c r="B35" s="50"/>
      <c r="C35" s="46" t="s">
        <v>109</v>
      </c>
      <c r="D35" s="10"/>
    </row>
    <row r="36" spans="1:4" ht="17.100000000000001" customHeight="1" thickBot="1" x14ac:dyDescent="0.3">
      <c r="A36" s="7"/>
      <c r="B36" s="50"/>
      <c r="C36" s="46" t="s">
        <v>27</v>
      </c>
      <c r="D36" s="10"/>
    </row>
    <row r="37" spans="1:4" ht="17.100000000000001" customHeight="1" thickBot="1" x14ac:dyDescent="0.3">
      <c r="A37" s="7"/>
      <c r="B37" s="50"/>
      <c r="C37" s="46" t="s">
        <v>28</v>
      </c>
      <c r="D37" s="10"/>
    </row>
    <row r="38" spans="1:4" ht="17.100000000000001" customHeight="1" thickBot="1" x14ac:dyDescent="0.3">
      <c r="A38" s="7"/>
      <c r="B38" s="50"/>
      <c r="C38" s="46" t="s">
        <v>112</v>
      </c>
      <c r="D38" s="10"/>
    </row>
    <row r="39" spans="1:4" ht="17.100000000000001" customHeight="1" thickBot="1" x14ac:dyDescent="0.3">
      <c r="A39" s="7"/>
      <c r="B39" s="50"/>
      <c r="C39" s="46"/>
      <c r="D39" s="10"/>
    </row>
    <row r="40" spans="1:4" ht="17.100000000000001" customHeight="1" thickBot="1" x14ac:dyDescent="0.3">
      <c r="A40" s="7"/>
      <c r="B40" s="50">
        <v>16</v>
      </c>
      <c r="C40" s="46" t="s">
        <v>26</v>
      </c>
      <c r="D40" s="10"/>
    </row>
    <row r="41" spans="1:4" ht="17.100000000000001" customHeight="1" thickBot="1" x14ac:dyDescent="0.3">
      <c r="A41" s="7"/>
      <c r="B41" s="50">
        <v>17</v>
      </c>
      <c r="C41" s="46" t="s">
        <v>27</v>
      </c>
      <c r="D41" s="10"/>
    </row>
    <row r="42" spans="1:4" ht="17.100000000000001" customHeight="1" thickBot="1" x14ac:dyDescent="0.3">
      <c r="A42" s="7"/>
      <c r="B42" s="50">
        <v>18</v>
      </c>
      <c r="C42" s="46" t="s">
        <v>28</v>
      </c>
      <c r="D42" s="10"/>
    </row>
    <row r="43" spans="1:4" ht="17.100000000000001" customHeight="1" thickBot="1" x14ac:dyDescent="0.3">
      <c r="A43" s="7"/>
      <c r="B43" s="50">
        <v>19</v>
      </c>
      <c r="C43" s="46" t="s">
        <v>29</v>
      </c>
      <c r="D43" s="10"/>
    </row>
    <row r="44" spans="1:4" ht="17.100000000000001" customHeight="1" thickBot="1" x14ac:dyDescent="0.3">
      <c r="A44" s="7"/>
      <c r="B44" s="50">
        <v>20</v>
      </c>
      <c r="C44" s="46" t="s">
        <v>30</v>
      </c>
      <c r="D44" s="10"/>
    </row>
    <row r="45" spans="1:4" ht="17.100000000000001" customHeight="1" thickBot="1" x14ac:dyDescent="0.3">
      <c r="A45" s="7"/>
      <c r="B45" s="50">
        <v>21</v>
      </c>
      <c r="C45" s="46" t="s">
        <v>101</v>
      </c>
      <c r="D45" s="10"/>
    </row>
    <row r="46" spans="1:4" ht="17.100000000000001" customHeight="1" thickBot="1" x14ac:dyDescent="0.3">
      <c r="A46" s="7"/>
      <c r="B46" s="50">
        <v>22</v>
      </c>
      <c r="C46" s="46" t="s">
        <v>32</v>
      </c>
      <c r="D46" s="10"/>
    </row>
    <row r="47" spans="1:4" ht="17.100000000000001" customHeight="1" thickBot="1" x14ac:dyDescent="0.3">
      <c r="A47" s="7"/>
      <c r="B47" s="50">
        <v>23</v>
      </c>
      <c r="C47" s="46" t="s">
        <v>33</v>
      </c>
      <c r="D47" s="10"/>
    </row>
    <row r="48" spans="1:4" ht="17.100000000000001" customHeight="1" thickBot="1" x14ac:dyDescent="0.3">
      <c r="A48" s="7"/>
      <c r="B48" s="50">
        <v>24</v>
      </c>
      <c r="C48" s="46" t="s">
        <v>34</v>
      </c>
      <c r="D48" s="10"/>
    </row>
    <row r="49" spans="1:5" ht="17.100000000000001" customHeight="1" thickBot="1" x14ac:dyDescent="0.3">
      <c r="A49" s="7"/>
      <c r="B49" s="50">
        <v>25</v>
      </c>
      <c r="C49" s="51" t="s">
        <v>102</v>
      </c>
      <c r="D49" s="10"/>
    </row>
    <row r="50" spans="1:5" ht="17.100000000000001" customHeight="1" thickBot="1" x14ac:dyDescent="0.3">
      <c r="A50" s="7"/>
      <c r="B50" s="50">
        <v>26</v>
      </c>
      <c r="C50" s="46" t="s">
        <v>35</v>
      </c>
      <c r="D50" s="10"/>
    </row>
    <row r="51" spans="1:5" ht="17.100000000000001" customHeight="1" thickBot="1" x14ac:dyDescent="0.3">
      <c r="A51" s="7"/>
      <c r="B51" s="50">
        <v>27</v>
      </c>
      <c r="C51" s="46" t="s">
        <v>36</v>
      </c>
      <c r="D51" s="10"/>
    </row>
    <row r="52" spans="1:5" ht="17.100000000000001" customHeight="1" thickBot="1" x14ac:dyDescent="0.3">
      <c r="A52" s="9"/>
      <c r="B52" s="105">
        <v>28</v>
      </c>
      <c r="C52" s="51" t="s">
        <v>46</v>
      </c>
      <c r="D52" s="10"/>
    </row>
    <row r="53" spans="1:5" ht="17.100000000000001" customHeight="1" thickBot="1" x14ac:dyDescent="0.3">
      <c r="A53" s="9"/>
      <c r="B53" s="105"/>
      <c r="C53" s="46" t="s">
        <v>47</v>
      </c>
      <c r="D53" s="10"/>
    </row>
    <row r="54" spans="1:5" ht="17.100000000000001" customHeight="1" thickBot="1" x14ac:dyDescent="0.3">
      <c r="A54" s="9"/>
      <c r="B54" s="105"/>
      <c r="C54" s="46" t="s">
        <v>48</v>
      </c>
      <c r="D54" s="10"/>
    </row>
    <row r="55" spans="1:5" ht="17.100000000000001" customHeight="1" thickBot="1" x14ac:dyDescent="0.3">
      <c r="A55" s="9"/>
      <c r="B55" s="50">
        <v>29</v>
      </c>
      <c r="C55" s="52" t="s">
        <v>97</v>
      </c>
      <c r="D55" s="10"/>
    </row>
    <row r="56" spans="1:5" ht="9.9499999999999993" customHeight="1" x14ac:dyDescent="0.25">
      <c r="A56" s="3"/>
      <c r="B56" s="22"/>
      <c r="C56" s="6"/>
      <c r="D56" s="3"/>
    </row>
    <row r="57" spans="1:5" ht="9.9499999999999993" customHeight="1" x14ac:dyDescent="0.25">
      <c r="A57" s="1"/>
      <c r="B57" s="38"/>
      <c r="C57" s="1"/>
      <c r="D57" s="1"/>
    </row>
    <row r="58" spans="1:5" ht="9.9499999999999993" customHeight="1" x14ac:dyDescent="0.25">
      <c r="A58" s="1"/>
      <c r="B58" s="38"/>
      <c r="C58" s="1"/>
      <c r="D58" s="1"/>
    </row>
    <row r="59" spans="1:5" x14ac:dyDescent="0.25">
      <c r="C59" t="s">
        <v>62</v>
      </c>
      <c r="E59" t="s">
        <v>63</v>
      </c>
    </row>
    <row r="60" spans="1:5" x14ac:dyDescent="0.25">
      <c r="C60" s="39" t="s">
        <v>58</v>
      </c>
    </row>
    <row r="61" spans="1:5" x14ac:dyDescent="0.25">
      <c r="C61">
        <f ca="1">RANDBETWEEN(0,255)</f>
        <v>34</v>
      </c>
      <c r="E61" t="str">
        <f ca="1">_xlfn.CONCAT( _xlfn.IFS( C61 &lt; HEX2DEC("A"), DEC2HEX(C61, 1), C61 &lt; HEX2DEC("A0"), DEC2HEX(C61, 2), C61 &lt; HEX2DEC("A00"), DEC2HEX(C61, 3), C61 &lt; HEX2DEC("A000"), DEC2HEX(C61, 4), C61 &lt; HEX2DEC("A0000"), DEC2HEX(C61, 5), C61 &lt; HEX2DEC("A00000"), DEC2HEX(C61, 6), C61 &lt; HEX2DEC("A000000"), DEC2HEX(C61, 7), C61 &lt; HEX2DEC("A0000000"), DEC2HEX(C61, 8), TRUE, DEC2HEX(C61, 9) ), "h" )</f>
        <v>22h</v>
      </c>
    </row>
    <row r="62" spans="1:5" x14ac:dyDescent="0.25">
      <c r="C62" s="39" t="s">
        <v>103</v>
      </c>
    </row>
    <row r="63" spans="1:5" x14ac:dyDescent="0.25">
      <c r="C63">
        <f ca="1">RANDBETWEEN(1,255)</f>
        <v>140</v>
      </c>
      <c r="E63" t="str">
        <f ca="1">_xlfn.CONCAT( _xlfn.IFS( C63 &lt; HEX2DEC("A"), DEC2HEX(C63, 1), C63 &lt; HEX2DEC("A0"), DEC2HEX(C63, 2), C63 &lt; HEX2DEC("A00"), DEC2HEX(C63, 3), C63 &lt; HEX2DEC("A000"), DEC2HEX(C63, 4), C63 &lt; HEX2DEC("A0000"), DEC2HEX(C63, 5), C63 &lt; HEX2DEC("A00000"), DEC2HEX(C63, 6), C63 &lt; HEX2DEC("A000000"), DEC2HEX(C63, 7), C63 &lt; HEX2DEC("A0000000"), DEC2HEX(C63, 8), TRUE, DEC2HEX(C63, 9) ), "h" )</f>
        <v>8Ch</v>
      </c>
    </row>
    <row r="64" spans="1:5" x14ac:dyDescent="0.25">
      <c r="C64" s="39" t="s">
        <v>59</v>
      </c>
    </row>
    <row r="65" spans="3:5" x14ac:dyDescent="0.25">
      <c r="C65">
        <f ca="1">RANDBETWEEN(0, 65535)</f>
        <v>22563</v>
      </c>
      <c r="E65" t="str">
        <f ca="1">_xlfn.CONCAT( _xlfn.IFS( C65 &lt; HEX2DEC("A"), DEC2HEX(C65, 1), C65 &lt; HEX2DEC("A0"), DEC2HEX(C65, 2), C65 &lt; HEX2DEC("A00"), DEC2HEX(C65, 3), C65 &lt; HEX2DEC("A000"), DEC2HEX(C65, 4), C65 &lt; HEX2DEC("A0000"), DEC2HEX(C65, 5), C65 &lt; HEX2DEC("A00000"), DEC2HEX(C65, 6), C65 &lt; HEX2DEC("A000000"), DEC2HEX(C65, 7), C65 &lt; HEX2DEC("A0000000"), DEC2HEX(C65, 8), TRUE, DEC2HEX(C65, 9) ), "h" )</f>
        <v>5823h</v>
      </c>
    </row>
    <row r="66" spans="3:5" x14ac:dyDescent="0.25">
      <c r="C66">
        <f ca="1">RANDBETWEEN(0, 65535)</f>
        <v>59610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0E8DAh</v>
      </c>
    </row>
    <row r="67" spans="3:5" x14ac:dyDescent="0.25">
      <c r="C67" s="39" t="s">
        <v>60</v>
      </c>
    </row>
    <row r="68" spans="3:5" x14ac:dyDescent="0.25">
      <c r="C68">
        <f ca="1">RANDBETWEEN(256, 65535)</f>
        <v>54567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0D527h</v>
      </c>
    </row>
    <row r="69" spans="3:5" x14ac:dyDescent="0.25">
      <c r="C69">
        <f ca="1">RANDBETWEEN(256, 65535)</f>
        <v>1164</v>
      </c>
      <c r="E69" t="str">
        <f ca="1">_xlfn.CONCAT( _xlfn.IFS( C69 &lt; HEX2DEC("A"), DEC2HEX(C69, 1), C69 &lt; HEX2DEC("A0"), DEC2HEX(C69, 2), C69 &lt; HEX2DEC("A00"), DEC2HEX(C69, 3), C69 &lt; HEX2DEC("A000"), DEC2HEX(C69, 4), C69 &lt; HEX2DEC("A0000"), DEC2HEX(C69, 5), C69 &lt; HEX2DEC("A00000"), DEC2HEX(C69, 6), C69 &lt; HEX2DEC("A000000"), DEC2HEX(C69, 7), C69 &lt; HEX2DEC("A0000000"), DEC2HEX(C69, 8), TRUE, DEC2HEX(C69, 9) ), "h" )</f>
        <v>48Ch</v>
      </c>
    </row>
    <row r="70" spans="3:5" x14ac:dyDescent="0.25">
      <c r="C70" s="39" t="s">
        <v>68</v>
      </c>
    </row>
    <row r="71" spans="3:5" x14ac:dyDescent="0.25">
      <c r="C71">
        <f ca="1">RANDBETWEEN(HEX2DEC("1000"), 65535)</f>
        <v>15339</v>
      </c>
      <c r="E71" t="str">
        <f ca="1">_xlfn.CONCAT( _xlfn.IFS( C71 &lt; HEX2DEC("A"), DEC2HEX(C71, 1), C71 &lt; HEX2DEC("A0"), DEC2HEX(C71, 2), C71 &lt; HEX2DEC("A00"), DEC2HEX(C71, 3), C71 &lt; HEX2DEC("A000"), DEC2HEX(C71, 4), C71 &lt; HEX2DEC("A0000"), DEC2HEX(C71, 5), C71 &lt; HEX2DEC("A00000"), DEC2HEX(C71, 6), C71 &lt; HEX2DEC("A000000"), DEC2HEX(C71, 7), C71 &lt; HEX2DEC("A0000000"), DEC2HEX(C71, 8), TRUE, DEC2HEX(C71, 9) ), "h" )</f>
        <v>3BEBh</v>
      </c>
    </row>
    <row r="72" spans="3:5" x14ac:dyDescent="0.25">
      <c r="C72" s="39" t="s">
        <v>61</v>
      </c>
    </row>
    <row r="73" spans="3:5" x14ac:dyDescent="0.25">
      <c r="C73">
        <f ca="1">RANDBETWEEN(65536, 4294967295)</f>
        <v>644827149</v>
      </c>
      <c r="E73" t="str">
        <f ca="1">_xlfn.CONCAT( _xlfn.IFS( C73 &lt; HEX2DEC("A"), DEC2HEX(C73, 1), C73 &lt; HEX2DEC("A0"), DEC2HEX(C73, 2), C73 &lt; HEX2DEC("A00"), DEC2HEX(C73, 3), C73 &lt; HEX2DEC("A000"), DEC2HEX(C73, 4), C73 &lt; HEX2DEC("A0000"), DEC2HEX(C73, 5), C73 &lt; HEX2DEC("A00000"), DEC2HEX(C73, 6), C73 &lt; HEX2DEC("A000000"), DEC2HEX(C73, 7), C73 &lt; HEX2DEC("A0000000"), DEC2HEX(C73, 8), TRUE, DEC2HEX(C73, 9) ), "h" )</f>
        <v>266F480Dh</v>
      </c>
    </row>
    <row r="74" spans="3:5" x14ac:dyDescent="0.25">
      <c r="C74" t="s">
        <v>64</v>
      </c>
    </row>
    <row r="75" spans="3:5" x14ac:dyDescent="0.25">
      <c r="C75">
        <f ca="1">EVEN(RANDBETWEEN(100, 2048))</f>
        <v>1522</v>
      </c>
      <c r="E75" t="str">
        <f ca="1">_xlfn.CONCAT( _xlfn.IFS( C75 &lt; HEX2DEC("A"), DEC2HEX(C75, 1), C75 &lt; HEX2DEC("A0"), DEC2HEX(C75, 2), C75 &lt; HEX2DEC("A00"), DEC2HEX(C75, 3), C75 &lt; HEX2DEC("A000"), DEC2HEX(C75, 4), C75 &lt; HEX2DEC("A0000"), DEC2HEX(C75, 5), C75 &lt; HEX2DEC("A00000"), DEC2HEX(C75, 6), C75 &lt; HEX2DEC("A000000"), DEC2HEX(C75, 7), C75 &lt; HEX2DEC("A0000000"), DEC2HEX(C75, 8), TRUE, DEC2HEX(C75, 9) ), "h" )</f>
        <v>5F2h</v>
      </c>
    </row>
    <row r="76" spans="3:5" x14ac:dyDescent="0.25">
      <c r="C76" t="s">
        <v>65</v>
      </c>
    </row>
    <row r="77" spans="3:5" x14ac:dyDescent="0.25">
      <c r="C77">
        <f ca="1">ROUNDDOWN(C75/100, 1) * 100</f>
        <v>1520</v>
      </c>
    </row>
    <row r="79" spans="3:5" x14ac:dyDescent="0.25">
      <c r="C79" t="s">
        <v>88</v>
      </c>
    </row>
    <row r="80" spans="3:5" x14ac:dyDescent="0.25">
      <c r="C80" s="53" t="str">
        <f>_xlfn.CONCAT( (HEX2BIN("AA")), (HEX2BIN("AA")), "b" )</f>
        <v>1010101010101010b</v>
      </c>
    </row>
    <row r="81" spans="3:3" x14ac:dyDescent="0.25">
      <c r="C81" t="str">
        <f>_xlfn.CONCAT( (HEX2BIN("FF")), (HEX2BIN("AA")), "b" )</f>
        <v>1111111110101010b</v>
      </c>
    </row>
    <row r="82" spans="3:3" x14ac:dyDescent="0.25">
      <c r="C82" t="str">
        <f>_xlfn.CONCAT( (HEX2BIN("CC")), (HEX2BIN("FF")), "b" )</f>
        <v>1100110011111111b</v>
      </c>
    </row>
    <row r="83" spans="3:3" x14ac:dyDescent="0.25">
      <c r="C83" t="str">
        <f>_xlfn.CONCAT( (HEX2BIN("55", 8)), (HEX2BIN("55", 8)), "b" )</f>
        <v>0101010101010101b</v>
      </c>
    </row>
    <row r="84" spans="3:3" x14ac:dyDescent="0.25">
      <c r="C84" t="str">
        <f>_xlfn.CONCAT( (HEX2BIN("66", 8)), (HEX2BIN("66", 8)), "b" )</f>
        <v>0110011001100110b</v>
      </c>
    </row>
    <row r="85" spans="3:3" x14ac:dyDescent="0.25">
      <c r="C85" t="str">
        <f>_xlfn.CONCAT( (HEX2BIN("99", 8)), (HEX2BIN("99", 8)), "b" )</f>
        <v>1001100110011001b</v>
      </c>
    </row>
    <row r="86" spans="3:3" x14ac:dyDescent="0.25">
      <c r="C86" t="str">
        <f>_xlfn.CONCAT( (HEX2BIN("F3", 8)), (HEX2BIN("F3", 8)), "b" )</f>
        <v>1111001111110011b</v>
      </c>
    </row>
    <row r="87" spans="3:3" x14ac:dyDescent="0.25">
      <c r="C87" t="str">
        <f>_xlfn.CONCAT( (HEX2BIN("FC", 8)), (HEX2BIN("FC", 8)), "b" )</f>
        <v>1111110011111100b</v>
      </c>
    </row>
    <row r="89" spans="3:3" x14ac:dyDescent="0.25">
      <c r="C89" t="str" cm="1">
        <f t="array" aca="1" ref="C89" ca="1">INDEX($C$80:$C$87,RANDBETWEEN(1,COUNTA($C$80:$C$87)), 1)</f>
        <v>1010101010101010b</v>
      </c>
    </row>
    <row r="91" spans="3:3" x14ac:dyDescent="0.25">
      <c r="C91" t="s">
        <v>104</v>
      </c>
    </row>
    <row r="92" spans="3:3" x14ac:dyDescent="0.25">
      <c r="C92" t="s">
        <v>105</v>
      </c>
    </row>
    <row r="93" spans="3:3" x14ac:dyDescent="0.25">
      <c r="C93" t="s">
        <v>106</v>
      </c>
    </row>
    <row r="94" spans="3:3" x14ac:dyDescent="0.25">
      <c r="C94" t="s">
        <v>107</v>
      </c>
    </row>
    <row r="95" spans="3:3" x14ac:dyDescent="0.25">
      <c r="C95" t="s">
        <v>108</v>
      </c>
    </row>
    <row r="97" spans="3:3" x14ac:dyDescent="0.25">
      <c r="C97" t="str" cm="1">
        <f t="array" aca="1" ref="C97" ca="1">INDEX($C$92:$C$95, RANDBETWEEN(1, COUNTA($C$92:$C$95)), 1)</f>
        <v>ROR</v>
      </c>
    </row>
    <row r="99" spans="3:3" x14ac:dyDescent="0.25">
      <c r="C99" t="s">
        <v>110</v>
      </c>
    </row>
    <row r="100" spans="3:3" x14ac:dyDescent="0.25">
      <c r="C100" t="s">
        <v>111</v>
      </c>
    </row>
  </sheetData>
  <mergeCells count="3">
    <mergeCell ref="B12:B16"/>
    <mergeCell ref="B19:B21"/>
    <mergeCell ref="B52:B5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95B8-E1E7-4EAF-8079-496DF8C43483}">
  <sheetPr codeName="Sheet1"/>
  <dimension ref="A2:F20"/>
  <sheetViews>
    <sheetView workbookViewId="0">
      <selection activeCell="A4" sqref="A4:E4"/>
    </sheetView>
  </sheetViews>
  <sheetFormatPr defaultRowHeight="15" x14ac:dyDescent="0.25"/>
  <cols>
    <col min="2" max="2" width="27.42578125" bestFit="1" customWidth="1"/>
    <col min="3" max="3" width="17.85546875" customWidth="1"/>
    <col min="4" max="4" width="13.28515625" customWidth="1"/>
    <col min="5" max="5" width="18.7109375" customWidth="1"/>
  </cols>
  <sheetData>
    <row r="2" spans="1:6" x14ac:dyDescent="0.25">
      <c r="A2" s="3"/>
      <c r="B2" s="3"/>
      <c r="C2" s="3"/>
      <c r="D2" s="3"/>
      <c r="E2" s="3"/>
      <c r="F2" s="3"/>
    </row>
    <row r="3" spans="1:6" ht="15.75" x14ac:dyDescent="0.25">
      <c r="A3" s="3">
        <v>3</v>
      </c>
      <c r="B3" s="4" t="s">
        <v>0</v>
      </c>
      <c r="C3" s="3" t="s">
        <v>1</v>
      </c>
      <c r="D3" s="3" t="s">
        <v>2</v>
      </c>
      <c r="E3" s="3" t="s">
        <v>3</v>
      </c>
      <c r="F3" s="3"/>
    </row>
    <row r="4" spans="1:6" ht="15.75" x14ac:dyDescent="0.25">
      <c r="A4" s="3">
        <v>4</v>
      </c>
      <c r="B4" s="4" t="s">
        <v>4</v>
      </c>
      <c r="C4" s="3" t="s">
        <v>1</v>
      </c>
      <c r="D4" s="3" t="s">
        <v>2</v>
      </c>
      <c r="E4" s="3" t="s">
        <v>3</v>
      </c>
      <c r="F4" s="3"/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B6" s="1"/>
      <c r="C6" s="1"/>
    </row>
    <row r="7" spans="1:6" x14ac:dyDescent="0.25">
      <c r="B7" s="1"/>
      <c r="C7" s="1"/>
    </row>
    <row r="8" spans="1:6" x14ac:dyDescent="0.25">
      <c r="B8" s="1"/>
      <c r="C8" s="1"/>
    </row>
    <row r="14" spans="1:6" x14ac:dyDescent="0.25">
      <c r="D14" s="1"/>
    </row>
    <row r="20" spans="5:5" x14ac:dyDescent="0.25">
      <c r="E20" s="2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75234-13D0-4F2D-BD8F-20FC8A05E095}">
  <sheetPr codeName="Sheet2"/>
  <dimension ref="A1:G24"/>
  <sheetViews>
    <sheetView workbookViewId="0">
      <selection activeCell="F31" sqref="F31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5" width="1.7109375" customWidth="1"/>
    <col min="6" max="6" width="63.5703125" bestFit="1" customWidth="1"/>
    <col min="7" max="7" width="1.7109375" customWidth="1"/>
  </cols>
  <sheetData>
    <row r="1" spans="1:7" ht="9.9499999999999993" customHeight="1" thickBot="1" x14ac:dyDescent="0.3">
      <c r="A1" s="3"/>
      <c r="B1" s="5"/>
      <c r="C1" s="5"/>
      <c r="D1" s="3"/>
      <c r="E1" s="3"/>
      <c r="F1" s="9"/>
      <c r="G1" s="3"/>
    </row>
    <row r="2" spans="1:7" ht="19.5" thickBot="1" x14ac:dyDescent="0.3">
      <c r="A2" s="8"/>
      <c r="B2" s="11" t="s">
        <v>5</v>
      </c>
      <c r="C2" s="11" t="s">
        <v>14</v>
      </c>
      <c r="D2" s="10"/>
      <c r="E2" s="10"/>
      <c r="F2" s="11" t="s">
        <v>15</v>
      </c>
      <c r="G2" s="10"/>
    </row>
    <row r="3" spans="1:7" ht="16.5" thickBot="1" x14ac:dyDescent="0.3">
      <c r="A3" s="7"/>
      <c r="B3" s="12"/>
      <c r="C3" s="19" t="s">
        <v>16</v>
      </c>
      <c r="D3" s="10"/>
      <c r="E3" s="10"/>
      <c r="F3" s="13"/>
      <c r="G3" s="10"/>
    </row>
    <row r="4" spans="1:7" ht="16.5" thickBot="1" x14ac:dyDescent="0.3">
      <c r="A4" s="7"/>
      <c r="B4" s="106"/>
      <c r="C4" s="14" t="s">
        <v>19</v>
      </c>
      <c r="D4" s="10"/>
      <c r="E4" s="10"/>
      <c r="F4" s="107" t="s">
        <v>7</v>
      </c>
      <c r="G4" s="10"/>
    </row>
    <row r="5" spans="1:7" ht="16.5" thickBot="1" x14ac:dyDescent="0.3">
      <c r="A5" s="7"/>
      <c r="B5" s="106"/>
      <c r="C5" s="15" t="s">
        <v>18</v>
      </c>
      <c r="D5" s="10"/>
      <c r="E5" s="10"/>
      <c r="F5" s="107"/>
      <c r="G5" s="10"/>
    </row>
    <row r="6" spans="1:7" ht="16.5" thickBot="1" x14ac:dyDescent="0.3">
      <c r="A6" s="7"/>
      <c r="B6" s="106"/>
      <c r="C6" s="16" t="s">
        <v>17</v>
      </c>
      <c r="D6" s="10"/>
      <c r="E6" s="10"/>
      <c r="F6" s="107"/>
      <c r="G6" s="10"/>
    </row>
    <row r="7" spans="1:7" ht="16.5" thickBot="1" x14ac:dyDescent="0.3">
      <c r="A7" s="7"/>
      <c r="B7" s="12"/>
      <c r="C7" s="18" t="s">
        <v>21</v>
      </c>
      <c r="D7" s="10"/>
      <c r="E7" s="10"/>
      <c r="F7" s="13"/>
      <c r="G7" s="10"/>
    </row>
    <row r="8" spans="1:7" ht="16.5" thickBot="1" x14ac:dyDescent="0.3">
      <c r="A8" s="7"/>
      <c r="B8" s="12"/>
      <c r="C8" s="18" t="s">
        <v>22</v>
      </c>
      <c r="D8" s="10"/>
      <c r="E8" s="10"/>
      <c r="F8" s="13"/>
      <c r="G8" s="10"/>
    </row>
    <row r="9" spans="1:7" ht="16.5" thickBot="1" x14ac:dyDescent="0.3">
      <c r="A9" s="7"/>
      <c r="B9" s="12">
        <v>1</v>
      </c>
      <c r="C9" s="13" t="s">
        <v>24</v>
      </c>
      <c r="D9" s="10"/>
      <c r="E9" s="10"/>
      <c r="F9" s="13" t="s">
        <v>8</v>
      </c>
      <c r="G9" s="10"/>
    </row>
    <row r="10" spans="1:7" ht="16.5" thickBot="1" x14ac:dyDescent="0.3">
      <c r="A10" s="7"/>
      <c r="B10" s="12">
        <v>2</v>
      </c>
      <c r="C10" s="13" t="s">
        <v>25</v>
      </c>
      <c r="D10" s="10"/>
      <c r="E10" s="10"/>
      <c r="F10" s="13" t="s">
        <v>9</v>
      </c>
      <c r="G10" s="10"/>
    </row>
    <row r="11" spans="1:7" ht="16.5" thickBot="1" x14ac:dyDescent="0.3">
      <c r="A11" s="7"/>
      <c r="B11" s="12">
        <v>3</v>
      </c>
      <c r="C11" s="13" t="s">
        <v>26</v>
      </c>
      <c r="D11" s="10"/>
      <c r="E11" s="10"/>
      <c r="F11" s="13" t="s">
        <v>1</v>
      </c>
      <c r="G11" s="10"/>
    </row>
    <row r="12" spans="1:7" ht="16.5" thickBot="1" x14ac:dyDescent="0.3">
      <c r="A12" s="7"/>
      <c r="B12" s="12">
        <v>4</v>
      </c>
      <c r="C12" s="13" t="s">
        <v>27</v>
      </c>
      <c r="D12" s="10"/>
      <c r="E12" s="10"/>
      <c r="F12" s="13" t="s">
        <v>10</v>
      </c>
      <c r="G12" s="10"/>
    </row>
    <row r="13" spans="1:7" ht="16.5" thickBot="1" x14ac:dyDescent="0.3">
      <c r="A13" s="7"/>
      <c r="B13" s="12">
        <v>5</v>
      </c>
      <c r="C13" s="13" t="s">
        <v>28</v>
      </c>
      <c r="D13" s="10"/>
      <c r="E13" s="10"/>
      <c r="F13" s="13" t="s">
        <v>10</v>
      </c>
      <c r="G13" s="10"/>
    </row>
    <row r="14" spans="1:7" ht="16.5" thickBot="1" x14ac:dyDescent="0.3">
      <c r="A14" s="7"/>
      <c r="B14" s="12">
        <v>6</v>
      </c>
      <c r="C14" s="13" t="s">
        <v>29</v>
      </c>
      <c r="D14" s="10"/>
      <c r="E14" s="10"/>
      <c r="F14" s="13" t="s">
        <v>11</v>
      </c>
      <c r="G14" s="10"/>
    </row>
    <row r="15" spans="1:7" ht="16.5" thickBot="1" x14ac:dyDescent="0.3">
      <c r="A15" s="7"/>
      <c r="B15" s="12">
        <v>7</v>
      </c>
      <c r="C15" s="13" t="s">
        <v>30</v>
      </c>
      <c r="D15" s="10"/>
      <c r="E15" s="10"/>
      <c r="F15" s="13" t="s">
        <v>9</v>
      </c>
      <c r="G15" s="10"/>
    </row>
    <row r="16" spans="1:7" ht="16.5" thickBot="1" x14ac:dyDescent="0.3">
      <c r="A16" s="7"/>
      <c r="B16" s="12">
        <v>8</v>
      </c>
      <c r="C16" s="13" t="s">
        <v>31</v>
      </c>
      <c r="D16" s="10"/>
      <c r="E16" s="10"/>
      <c r="F16" s="13" t="s">
        <v>9</v>
      </c>
      <c r="G16" s="10"/>
    </row>
    <row r="17" spans="1:7" ht="16.5" thickBot="1" x14ac:dyDescent="0.3">
      <c r="A17" s="7"/>
      <c r="B17" s="12">
        <v>9</v>
      </c>
      <c r="C17" s="13" t="s">
        <v>32</v>
      </c>
      <c r="D17" s="10"/>
      <c r="E17" s="10"/>
      <c r="F17" s="13" t="s">
        <v>12</v>
      </c>
      <c r="G17" s="10"/>
    </row>
    <row r="18" spans="1:7" ht="16.5" thickBot="1" x14ac:dyDescent="0.3">
      <c r="A18" s="7"/>
      <c r="B18" s="12">
        <v>10</v>
      </c>
      <c r="C18" s="13" t="s">
        <v>33</v>
      </c>
      <c r="D18" s="10"/>
      <c r="E18" s="10"/>
      <c r="F18" s="13" t="s">
        <v>13</v>
      </c>
      <c r="G18" s="10"/>
    </row>
    <row r="19" spans="1:7" ht="16.5" thickBot="1" x14ac:dyDescent="0.3">
      <c r="A19" s="7"/>
      <c r="B19" s="12">
        <v>11</v>
      </c>
      <c r="C19" s="13" t="s">
        <v>34</v>
      </c>
      <c r="D19" s="10"/>
      <c r="E19" s="10"/>
      <c r="F19" s="13" t="s">
        <v>9</v>
      </c>
      <c r="G19" s="10"/>
    </row>
    <row r="20" spans="1:7" ht="16.5" thickBot="1" x14ac:dyDescent="0.3">
      <c r="A20" s="7"/>
      <c r="B20" s="12">
        <v>12</v>
      </c>
      <c r="C20" s="13" t="s">
        <v>37</v>
      </c>
      <c r="D20" s="10"/>
      <c r="E20" s="10"/>
      <c r="F20" s="13"/>
      <c r="G20" s="10"/>
    </row>
    <row r="21" spans="1:7" ht="16.5" thickBot="1" x14ac:dyDescent="0.3">
      <c r="A21" s="7"/>
      <c r="B21" s="12">
        <v>13</v>
      </c>
      <c r="C21" s="13" t="s">
        <v>35</v>
      </c>
      <c r="D21" s="10"/>
      <c r="E21" s="10"/>
      <c r="F21" s="13" t="s">
        <v>1</v>
      </c>
      <c r="G21" s="10"/>
    </row>
    <row r="22" spans="1:7" ht="16.5" thickBot="1" x14ac:dyDescent="0.3">
      <c r="A22" s="7"/>
      <c r="B22" s="12">
        <v>14</v>
      </c>
      <c r="C22" s="13" t="s">
        <v>36</v>
      </c>
      <c r="D22" s="10"/>
      <c r="E22" s="10"/>
      <c r="F22" s="13" t="s">
        <v>9</v>
      </c>
      <c r="G22" s="10"/>
    </row>
    <row r="23" spans="1:7" ht="16.5" thickBot="1" x14ac:dyDescent="0.3">
      <c r="A23" s="9"/>
      <c r="B23" s="12">
        <v>15</v>
      </c>
      <c r="C23" s="13" t="s">
        <v>23</v>
      </c>
      <c r="D23" s="10"/>
      <c r="E23" s="10"/>
      <c r="F23" s="13"/>
      <c r="G23" s="10"/>
    </row>
    <row r="24" spans="1:7" ht="9.9499999999999993" customHeight="1" x14ac:dyDescent="0.25">
      <c r="A24" s="3"/>
      <c r="B24" s="6"/>
      <c r="C24" s="6"/>
      <c r="D24" s="3"/>
      <c r="E24" s="3"/>
      <c r="F24" s="8"/>
      <c r="G24" s="3"/>
    </row>
  </sheetData>
  <mergeCells count="2">
    <mergeCell ref="B4:B6"/>
    <mergeCell ref="F4:F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B0E6A-0C0E-489B-AB63-29FF896E71AC}">
  <sheetPr codeName="Sheet3"/>
  <dimension ref="A1:D41"/>
  <sheetViews>
    <sheetView topLeftCell="A13" workbookViewId="0">
      <selection activeCell="G22" sqref="G22"/>
    </sheetView>
  </sheetViews>
  <sheetFormatPr defaultRowHeight="15" x14ac:dyDescent="0.25"/>
  <cols>
    <col min="1" max="1" width="1.7109375" customWidth="1"/>
    <col min="2" max="2" width="8.42578125" bestFit="1" customWidth="1"/>
    <col min="3" max="3" width="31.5703125" bestFit="1" customWidth="1"/>
    <col min="4" max="4" width="1.7109375" customWidth="1"/>
  </cols>
  <sheetData>
    <row r="1" spans="1:4" ht="9.9499999999999993" customHeight="1" thickBot="1" x14ac:dyDescent="0.3">
      <c r="A1" s="3"/>
      <c r="B1" s="5"/>
      <c r="C1" s="5"/>
      <c r="D1" s="3"/>
    </row>
    <row r="2" spans="1:4" ht="19.5" thickBot="1" x14ac:dyDescent="0.3">
      <c r="A2" s="8"/>
      <c r="B2" s="11" t="s">
        <v>5</v>
      </c>
      <c r="C2" s="11" t="s">
        <v>14</v>
      </c>
      <c r="D2" s="10"/>
    </row>
    <row r="3" spans="1:4" ht="19.5" thickBot="1" x14ac:dyDescent="0.3">
      <c r="A3" s="8"/>
      <c r="B3" s="11"/>
      <c r="C3" s="14" t="s">
        <v>38</v>
      </c>
      <c r="D3" s="10"/>
    </row>
    <row r="4" spans="1:4" ht="19.5" thickBot="1" x14ac:dyDescent="0.3">
      <c r="A4" s="8"/>
      <c r="B4" s="11"/>
      <c r="C4" s="14" t="s">
        <v>40</v>
      </c>
      <c r="D4" s="10"/>
    </row>
    <row r="5" spans="1:4" ht="19.5" thickBot="1" x14ac:dyDescent="0.3">
      <c r="A5" s="8"/>
      <c r="B5" s="11"/>
      <c r="C5" s="14" t="s">
        <v>41</v>
      </c>
      <c r="D5" s="10"/>
    </row>
    <row r="6" spans="1:4" ht="19.5" thickBot="1" x14ac:dyDescent="0.3">
      <c r="A6" s="8"/>
      <c r="B6" s="11"/>
      <c r="C6" s="14" t="s">
        <v>42</v>
      </c>
      <c r="D6" s="10"/>
    </row>
    <row r="7" spans="1:4" ht="19.5" thickBot="1" x14ac:dyDescent="0.3">
      <c r="A7" s="8"/>
      <c r="B7" s="11"/>
      <c r="C7" s="14" t="s">
        <v>43</v>
      </c>
      <c r="D7" s="10"/>
    </row>
    <row r="8" spans="1:4" ht="19.5" thickBot="1" x14ac:dyDescent="0.3">
      <c r="A8" s="8"/>
      <c r="B8" s="11"/>
      <c r="C8" s="14" t="s">
        <v>44</v>
      </c>
      <c r="D8" s="10"/>
    </row>
    <row r="9" spans="1:4" ht="19.5" thickBot="1" x14ac:dyDescent="0.3">
      <c r="A9" s="8"/>
      <c r="B9" s="11"/>
      <c r="C9" s="14" t="s">
        <v>45</v>
      </c>
      <c r="D9" s="10"/>
    </row>
    <row r="10" spans="1:4" ht="19.5" thickBot="1" x14ac:dyDescent="0.3">
      <c r="A10" s="8"/>
      <c r="B10" s="11"/>
      <c r="C10" s="14" t="s">
        <v>39</v>
      </c>
      <c r="D10" s="10"/>
    </row>
    <row r="11" spans="1:4" ht="16.5" customHeight="1" thickBot="1" x14ac:dyDescent="0.3">
      <c r="A11" s="7"/>
      <c r="B11" s="12"/>
      <c r="C11" s="19" t="s">
        <v>16</v>
      </c>
      <c r="D11" s="10"/>
    </row>
    <row r="12" spans="1:4" ht="16.5" customHeight="1" thickBot="1" x14ac:dyDescent="0.3">
      <c r="A12" s="7"/>
      <c r="B12" s="108"/>
      <c r="C12" s="14" t="s">
        <v>38</v>
      </c>
      <c r="D12" s="10"/>
    </row>
    <row r="13" spans="1:4" ht="16.5" customHeight="1" thickBot="1" x14ac:dyDescent="0.3">
      <c r="A13" s="7"/>
      <c r="B13" s="109"/>
      <c r="C13" s="14" t="s">
        <v>40</v>
      </c>
      <c r="D13" s="10"/>
    </row>
    <row r="14" spans="1:4" ht="16.5" customHeight="1" thickBot="1" x14ac:dyDescent="0.3">
      <c r="A14" s="7"/>
      <c r="B14" s="109"/>
      <c r="C14" s="14" t="s">
        <v>41</v>
      </c>
      <c r="D14" s="10"/>
    </row>
    <row r="15" spans="1:4" ht="16.5" customHeight="1" thickBot="1" x14ac:dyDescent="0.3">
      <c r="A15" s="7"/>
      <c r="B15" s="109"/>
      <c r="C15" s="14" t="s">
        <v>42</v>
      </c>
      <c r="D15" s="10"/>
    </row>
    <row r="16" spans="1:4" ht="16.5" customHeight="1" thickBot="1" x14ac:dyDescent="0.3">
      <c r="A16" s="7"/>
      <c r="B16" s="109"/>
      <c r="C16" s="14" t="s">
        <v>43</v>
      </c>
      <c r="D16" s="10"/>
    </row>
    <row r="17" spans="1:4" ht="16.5" customHeight="1" thickBot="1" x14ac:dyDescent="0.3">
      <c r="A17" s="7"/>
      <c r="B17" s="109"/>
      <c r="C17" s="14" t="s">
        <v>44</v>
      </c>
      <c r="D17" s="10"/>
    </row>
    <row r="18" spans="1:4" ht="16.5" customHeight="1" thickBot="1" x14ac:dyDescent="0.3">
      <c r="A18" s="7"/>
      <c r="B18" s="109"/>
      <c r="C18" s="14" t="s">
        <v>45</v>
      </c>
      <c r="D18" s="10"/>
    </row>
    <row r="19" spans="1:4" ht="17.100000000000001" customHeight="1" thickBot="1" x14ac:dyDescent="0.3">
      <c r="A19" s="7"/>
      <c r="B19" s="109"/>
      <c r="C19" s="14" t="s">
        <v>39</v>
      </c>
      <c r="D19" s="10"/>
    </row>
    <row r="20" spans="1:4" ht="17.100000000000001" customHeight="1" thickBot="1" x14ac:dyDescent="0.3">
      <c r="A20" s="7"/>
      <c r="B20" s="109"/>
      <c r="C20" s="14"/>
      <c r="D20" s="10"/>
    </row>
    <row r="21" spans="1:4" ht="17.100000000000001" customHeight="1" thickBot="1" x14ac:dyDescent="0.3">
      <c r="A21" s="7"/>
      <c r="B21" s="109"/>
      <c r="C21" s="20" t="s">
        <v>19</v>
      </c>
      <c r="D21" s="10"/>
    </row>
    <row r="22" spans="1:4" ht="17.100000000000001" customHeight="1" thickBot="1" x14ac:dyDescent="0.3">
      <c r="A22" s="7"/>
      <c r="B22" s="109"/>
      <c r="C22" s="15" t="s">
        <v>18</v>
      </c>
      <c r="D22" s="10"/>
    </row>
    <row r="23" spans="1:4" ht="17.100000000000001" customHeight="1" thickBot="1" x14ac:dyDescent="0.3">
      <c r="A23" s="7"/>
      <c r="B23" s="110"/>
      <c r="C23" s="16" t="s">
        <v>17</v>
      </c>
      <c r="D23" s="10"/>
    </row>
    <row r="24" spans="1:4" ht="17.100000000000001" customHeight="1" thickBot="1" x14ac:dyDescent="0.3">
      <c r="A24" s="7"/>
      <c r="B24" s="12"/>
      <c r="C24" s="18" t="s">
        <v>21</v>
      </c>
      <c r="D24" s="10"/>
    </row>
    <row r="25" spans="1:4" ht="17.100000000000001" customHeight="1" thickBot="1" x14ac:dyDescent="0.3">
      <c r="A25" s="7"/>
      <c r="B25" s="12"/>
      <c r="C25" s="18" t="s">
        <v>22</v>
      </c>
      <c r="D25" s="10"/>
    </row>
    <row r="26" spans="1:4" ht="17.100000000000001" customHeight="1" thickBot="1" x14ac:dyDescent="0.3">
      <c r="A26" s="7"/>
      <c r="B26" s="12">
        <v>1</v>
      </c>
      <c r="C26" s="13" t="s">
        <v>24</v>
      </c>
      <c r="D26" s="10"/>
    </row>
    <row r="27" spans="1:4" ht="17.100000000000001" customHeight="1" thickBot="1" x14ac:dyDescent="0.3">
      <c r="A27" s="7"/>
      <c r="B27" s="12">
        <v>2</v>
      </c>
      <c r="C27" s="13" t="s">
        <v>25</v>
      </c>
      <c r="D27" s="10"/>
    </row>
    <row r="28" spans="1:4" ht="17.100000000000001" customHeight="1" thickBot="1" x14ac:dyDescent="0.3">
      <c r="A28" s="7"/>
      <c r="B28" s="12">
        <v>3</v>
      </c>
      <c r="C28" s="13" t="s">
        <v>26</v>
      </c>
      <c r="D28" s="10"/>
    </row>
    <row r="29" spans="1:4" ht="17.100000000000001" customHeight="1" thickBot="1" x14ac:dyDescent="0.3">
      <c r="A29" s="7"/>
      <c r="B29" s="12">
        <v>4</v>
      </c>
      <c r="C29" s="13" t="s">
        <v>27</v>
      </c>
      <c r="D29" s="10"/>
    </row>
    <row r="30" spans="1:4" ht="17.100000000000001" customHeight="1" thickBot="1" x14ac:dyDescent="0.3">
      <c r="A30" s="7"/>
      <c r="B30" s="12">
        <v>5</v>
      </c>
      <c r="C30" s="13" t="s">
        <v>28</v>
      </c>
      <c r="D30" s="10"/>
    </row>
    <row r="31" spans="1:4" ht="17.100000000000001" customHeight="1" thickBot="1" x14ac:dyDescent="0.3">
      <c r="A31" s="7"/>
      <c r="B31" s="12">
        <v>6</v>
      </c>
      <c r="C31" s="13" t="s">
        <v>29</v>
      </c>
      <c r="D31" s="10"/>
    </row>
    <row r="32" spans="1:4" ht="17.100000000000001" customHeight="1" thickBot="1" x14ac:dyDescent="0.3">
      <c r="A32" s="7"/>
      <c r="B32" s="12">
        <v>7</v>
      </c>
      <c r="C32" s="13" t="s">
        <v>30</v>
      </c>
      <c r="D32" s="10"/>
    </row>
    <row r="33" spans="1:4" ht="17.100000000000001" customHeight="1" thickBot="1" x14ac:dyDescent="0.3">
      <c r="A33" s="7"/>
      <c r="B33" s="12">
        <v>8</v>
      </c>
      <c r="C33" s="13" t="s">
        <v>31</v>
      </c>
      <c r="D33" s="10"/>
    </row>
    <row r="34" spans="1:4" ht="17.100000000000001" customHeight="1" thickBot="1" x14ac:dyDescent="0.3">
      <c r="A34" s="7"/>
      <c r="B34" s="12">
        <v>9</v>
      </c>
      <c r="C34" s="13" t="s">
        <v>32</v>
      </c>
      <c r="D34" s="10"/>
    </row>
    <row r="35" spans="1:4" ht="17.100000000000001" customHeight="1" thickBot="1" x14ac:dyDescent="0.3">
      <c r="A35" s="7"/>
      <c r="B35" s="12">
        <v>10</v>
      </c>
      <c r="C35" s="13" t="s">
        <v>33</v>
      </c>
      <c r="D35" s="10"/>
    </row>
    <row r="36" spans="1:4" ht="17.100000000000001" customHeight="1" thickBot="1" x14ac:dyDescent="0.3">
      <c r="A36" s="7"/>
      <c r="B36" s="12">
        <v>11</v>
      </c>
      <c r="C36" s="13" t="s">
        <v>34</v>
      </c>
      <c r="D36" s="10"/>
    </row>
    <row r="37" spans="1:4" ht="17.100000000000001" customHeight="1" thickBot="1" x14ac:dyDescent="0.3">
      <c r="A37" s="7"/>
      <c r="B37" s="12">
        <v>12</v>
      </c>
      <c r="C37" s="13" t="s">
        <v>37</v>
      </c>
      <c r="D37" s="10"/>
    </row>
    <row r="38" spans="1:4" ht="17.100000000000001" customHeight="1" thickBot="1" x14ac:dyDescent="0.3">
      <c r="A38" s="7"/>
      <c r="B38" s="12">
        <v>13</v>
      </c>
      <c r="C38" s="13" t="s">
        <v>35</v>
      </c>
      <c r="D38" s="10"/>
    </row>
    <row r="39" spans="1:4" ht="17.100000000000001" customHeight="1" thickBot="1" x14ac:dyDescent="0.3">
      <c r="A39" s="7"/>
      <c r="B39" s="12">
        <v>14</v>
      </c>
      <c r="C39" s="13" t="s">
        <v>36</v>
      </c>
      <c r="D39" s="10"/>
    </row>
    <row r="40" spans="1:4" ht="17.100000000000001" customHeight="1" thickBot="1" x14ac:dyDescent="0.3">
      <c r="A40" s="9"/>
      <c r="B40" s="12">
        <v>15</v>
      </c>
      <c r="C40" s="13" t="s">
        <v>23</v>
      </c>
      <c r="D40" s="10"/>
    </row>
    <row r="41" spans="1:4" ht="9.9499999999999993" customHeight="1" x14ac:dyDescent="0.25">
      <c r="A41" s="3"/>
      <c r="B41" s="6"/>
      <c r="C41" s="6"/>
      <c r="D41" s="3"/>
    </row>
  </sheetData>
  <mergeCells count="1">
    <mergeCell ref="B12:B23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A13CC-80AF-4B57-9909-B7BD9209B131}">
  <sheetPr codeName="Sheet4"/>
  <dimension ref="A1:E52"/>
  <sheetViews>
    <sheetView topLeftCell="A13" workbookViewId="0">
      <selection activeCell="I40" sqref="I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1"/>
      <c r="C14" s="25"/>
      <c r="D14" s="10"/>
    </row>
    <row r="15" spans="1:4" ht="17.100000000000001" customHeight="1" thickBot="1" x14ac:dyDescent="0.3">
      <c r="A15" s="7"/>
      <c r="B15" s="111"/>
      <c r="C15" s="30" t="s">
        <v>19</v>
      </c>
      <c r="D15" s="10"/>
    </row>
    <row r="16" spans="1:4" ht="17.100000000000001" customHeight="1" thickBot="1" x14ac:dyDescent="0.3">
      <c r="A16" s="7"/>
      <c r="B16" s="111"/>
      <c r="C16" s="31" t="s">
        <v>18</v>
      </c>
      <c r="D16" s="10"/>
    </row>
    <row r="17" spans="1:4" ht="17.100000000000001" customHeight="1" thickBot="1" x14ac:dyDescent="0.3">
      <c r="A17" s="7"/>
      <c r="B17" s="112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3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1"/>
      <c r="C21" s="31" t="s">
        <v>49</v>
      </c>
      <c r="D21" s="10"/>
    </row>
    <row r="22" spans="1:4" ht="17.100000000000001" customHeight="1" thickBot="1" x14ac:dyDescent="0.3">
      <c r="A22" s="7"/>
      <c r="B22" s="112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49</v>
      </c>
      <c r="E46" t="str">
        <f ca="1">IF(C46&gt;=160, DEC2HEX(C46,3), DEC2HEX(C46,2))</f>
        <v>31</v>
      </c>
    </row>
    <row r="48" spans="1:5" x14ac:dyDescent="0.25">
      <c r="C48" s="39" t="s">
        <v>55</v>
      </c>
      <c r="E48" t="s">
        <v>54</v>
      </c>
    </row>
    <row r="49" spans="3:5" x14ac:dyDescent="0.25">
      <c r="C49">
        <f ca="1">RANDBETWEEN(0, 65535)</f>
        <v>54472</v>
      </c>
      <c r="E49" t="str">
        <f ca="1">IF(C49&gt;=40960, DEC2HEX(C49,5), DEC2HEX(C49,4))</f>
        <v>0D4C8</v>
      </c>
    </row>
    <row r="51" spans="3:5" x14ac:dyDescent="0.25">
      <c r="E51" t="str" cm="1">
        <f t="array" aca="1" ref="E51" ca="1">_xlfn.IFS(C46 &lt; 10, DEC2HEX(C46,1), C46 &lt; 160, DEC2HEX(C46,2), C46 &lt; 2560, DEC2HEX(C46,3))</f>
        <v>31</v>
      </c>
    </row>
    <row r="52" spans="3:5" x14ac:dyDescent="0.25">
      <c r="E52" t="str" cm="1">
        <f t="array" aca="1" ref="E52" ca="1">_xlfn.IFS(C49 &lt; 10, DEC2HEX(C49, 1), C49 &lt; 160, DEC2HEX(C49, 2), C49 &lt; 2560, DEC2HEX(C49, 3), C49 &lt; 40960, DEC2HEX(C49, 4), TRUE, DEC2HEX(C49, 5))</f>
        <v>0D4C8</v>
      </c>
    </row>
  </sheetData>
  <mergeCells count="3">
    <mergeCell ref="B14:B17"/>
    <mergeCell ref="B38:B40"/>
    <mergeCell ref="B20:B2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08DFF-CA2B-42AA-9175-8A5EF0A33BF2}">
  <sheetPr codeName="Sheet5"/>
  <dimension ref="A1:F57"/>
  <sheetViews>
    <sheetView topLeftCell="A7" workbookViewId="0">
      <selection activeCell="F27" sqref="F2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27.85546875" bestFit="1" customWidth="1"/>
    <col min="4" max="4" width="1.7109375" customWidth="1"/>
    <col min="5" max="5" width="13.7109375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40</v>
      </c>
      <c r="D4" s="10"/>
    </row>
    <row r="5" spans="1:4" ht="15.75" thickBot="1" x14ac:dyDescent="0.3">
      <c r="A5" s="8"/>
      <c r="B5" s="26"/>
      <c r="C5" s="25" t="s">
        <v>41</v>
      </c>
      <c r="D5" s="10"/>
    </row>
    <row r="6" spans="1:4" ht="15.75" thickBot="1" x14ac:dyDescent="0.3">
      <c r="A6" s="8"/>
      <c r="B6" s="26"/>
      <c r="C6" s="25" t="s">
        <v>42</v>
      </c>
      <c r="D6" s="10"/>
    </row>
    <row r="7" spans="1:4" ht="15.75" thickBot="1" x14ac:dyDescent="0.3">
      <c r="A7" s="8"/>
      <c r="B7" s="26"/>
      <c r="C7" s="25" t="s">
        <v>43</v>
      </c>
      <c r="D7" s="10"/>
    </row>
    <row r="8" spans="1:4" ht="15.75" thickBot="1" x14ac:dyDescent="0.3">
      <c r="A8" s="8"/>
      <c r="B8" s="26"/>
      <c r="C8" s="25" t="s">
        <v>44</v>
      </c>
      <c r="D8" s="10"/>
    </row>
    <row r="9" spans="1:4" ht="15.75" thickBot="1" x14ac:dyDescent="0.3">
      <c r="A9" s="8"/>
      <c r="B9" s="26"/>
      <c r="C9" s="25" t="s">
        <v>45</v>
      </c>
      <c r="D9" s="10"/>
    </row>
    <row r="10" spans="1:4" ht="15.75" thickBot="1" x14ac:dyDescent="0.3">
      <c r="A10" s="8"/>
      <c r="B10" s="26"/>
      <c r="C10" s="25" t="s">
        <v>39</v>
      </c>
      <c r="D10" s="10"/>
    </row>
    <row r="11" spans="1:4" ht="15.75" thickBot="1" x14ac:dyDescent="0.3">
      <c r="A11" s="8"/>
      <c r="B11" s="26"/>
      <c r="C11" s="27" t="s">
        <v>20</v>
      </c>
      <c r="D11" s="10"/>
    </row>
    <row r="12" spans="1:4" ht="15.75" thickBot="1" x14ac:dyDescent="0.3">
      <c r="A12" s="8"/>
      <c r="B12" s="26"/>
      <c r="C12" s="27" t="s">
        <v>6</v>
      </c>
      <c r="D12" s="10"/>
    </row>
    <row r="13" spans="1:4" ht="16.5" customHeight="1" thickBot="1" x14ac:dyDescent="0.3">
      <c r="A13" s="7"/>
      <c r="B13" s="28"/>
      <c r="C13" s="29" t="s">
        <v>16</v>
      </c>
      <c r="D13" s="10"/>
    </row>
    <row r="14" spans="1:4" ht="17.100000000000001" customHeight="1" thickBot="1" x14ac:dyDescent="0.3">
      <c r="A14" s="7"/>
      <c r="B14" s="111"/>
      <c r="C14" s="25" t="str">
        <f ca="1">_xlfn.CONCAT("  var1 DW ", E46)</f>
        <v xml:space="preserve">  var1 DW 3Ah</v>
      </c>
      <c r="D14" s="10"/>
    </row>
    <row r="15" spans="1:4" ht="17.100000000000001" customHeight="1" thickBot="1" x14ac:dyDescent="0.3">
      <c r="A15" s="7"/>
      <c r="B15" s="111"/>
      <c r="C15" s="30" t="s">
        <v>19</v>
      </c>
      <c r="D15" s="10"/>
    </row>
    <row r="16" spans="1:4" ht="17.100000000000001" customHeight="1" thickBot="1" x14ac:dyDescent="0.3">
      <c r="A16" s="7"/>
      <c r="B16" s="111"/>
      <c r="C16" s="31" t="s">
        <v>18</v>
      </c>
      <c r="D16" s="10"/>
    </row>
    <row r="17" spans="1:4" ht="17.100000000000001" customHeight="1" thickBot="1" x14ac:dyDescent="0.3">
      <c r="A17" s="7"/>
      <c r="B17" s="112"/>
      <c r="C17" s="32" t="s">
        <v>17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thickBot="1" x14ac:dyDescent="0.3">
      <c r="A20" s="7"/>
      <c r="B20" s="113">
        <v>1</v>
      </c>
      <c r="C20" s="25" t="s">
        <v>51</v>
      </c>
      <c r="D20" s="10"/>
    </row>
    <row r="21" spans="1:4" ht="17.100000000000001" customHeight="1" thickBot="1" x14ac:dyDescent="0.3">
      <c r="A21" s="7"/>
      <c r="B21" s="111"/>
      <c r="C21" s="31" t="s">
        <v>49</v>
      </c>
      <c r="D21" s="10"/>
    </row>
    <row r="22" spans="1:4" ht="17.100000000000001" customHeight="1" thickBot="1" x14ac:dyDescent="0.3">
      <c r="A22" s="7"/>
      <c r="B22" s="112"/>
      <c r="C22" s="32" t="s">
        <v>50</v>
      </c>
      <c r="D22" s="10"/>
    </row>
    <row r="23" spans="1:4" ht="17.100000000000001" customHeight="1" thickBot="1" x14ac:dyDescent="0.3">
      <c r="A23" s="7"/>
      <c r="B23" s="28"/>
      <c r="C23" s="33" t="s">
        <v>52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s="39" t="s">
        <v>53</v>
      </c>
      <c r="E45" t="s">
        <v>54</v>
      </c>
    </row>
    <row r="46" spans="1:5" x14ac:dyDescent="0.25">
      <c r="C46">
        <f ca="1">RANDBETWEEN(0,255)</f>
        <v>58</v>
      </c>
      <c r="E46" t="str">
        <f ca="1">_xlfn.CONCAT(_xlfn.IFS(C46 &lt; 10, DEC2HEX(C46, 1), C46 &lt; 160, DEC2HEX(C46, 2), C46 &lt; 2560, DEC2HEX(C46, 3), C46 &lt; 40960, DEC2HEX(C46, 4), TRUE, DEC2HEX(C46, 5)), "h")</f>
        <v>3Ah</v>
      </c>
    </row>
    <row r="48" spans="1:5" x14ac:dyDescent="0.25">
      <c r="C48" s="39" t="s">
        <v>55</v>
      </c>
      <c r="E48" t="s">
        <v>54</v>
      </c>
    </row>
    <row r="49" spans="3:6" x14ac:dyDescent="0.25">
      <c r="C49">
        <f ca="1">RANDBETWEEN(0, 65535)</f>
        <v>53554</v>
      </c>
      <c r="E49" t="str">
        <f ca="1">_xlfn.CONCAT(_xlfn.IFS(C49 &lt; 10, DEC2HEX(C49, 1), C49 &lt; 160, DEC2HEX(C49, 2), C49 &lt; 2560, DEC2HEX(C49, 3), C49 &lt; 40960, DEC2HEX(C49, 4), TRUE, DEC2HEX(C49, 5)), "h")</f>
        <v>0D132h</v>
      </c>
    </row>
    <row r="51" spans="3:6" x14ac:dyDescent="0.25">
      <c r="C51" s="39" t="s">
        <v>56</v>
      </c>
      <c r="E51" t="s">
        <v>54</v>
      </c>
    </row>
    <row r="52" spans="3:6" x14ac:dyDescent="0.25">
      <c r="C52">
        <f ca="1">RANDBETWEEN(256, 65535)</f>
        <v>42624</v>
      </c>
      <c r="E52" t="str">
        <f ca="1">_xlfn.CONCAT(_xlfn.IFS(C52 &lt; 10, DEC2HEX(C52, 1), C52 &lt; 160, DEC2HEX(C52, 2), C52 &lt; 2560, DEC2HEX(C52, 3), C52 &lt; 40960, DEC2HEX(C52, 4), TRUE, DEC2HEX(C52, 5)), "h")</f>
        <v>0A680h</v>
      </c>
    </row>
    <row r="54" spans="3:6" x14ac:dyDescent="0.25">
      <c r="C54" s="39" t="s">
        <v>57</v>
      </c>
      <c r="E54" t="s">
        <v>54</v>
      </c>
    </row>
    <row r="55" spans="3:6" x14ac:dyDescent="0.25">
      <c r="C55">
        <f ca="1">RANDBETWEEN(65536, 4294967295)</f>
        <v>267922615</v>
      </c>
      <c r="E55" t="str">
        <f ca="1">_xlfn.CONCAT( _xlfn.IFS( C55 &lt; HEX2DEC("A"), DEC2HEX(C55, 1), C55 &lt; HEX2DEC("A0"), DEC2HEX(C55, 2), C55 &lt; HEX2DEC("A00"), DEC2HEX(C55, 3), C55 &lt; HEX2DEC("A000"), DEC2HEX(C55, 4), C55 &lt; HEX2DEC("A0000"), DEC2HEX(C55, 5), C55 &lt; HEX2DEC("A00000"), DEC2HEX(C55, 6), C55 &lt; HEX2DEC("A000000"), DEC2HEX(C55, 7), C55 &lt; HEX2DEC("A0000000"), DEC2HEX(C55, 8), TRUE, DEC2HEX(C55, 9) ), "h" )</f>
        <v>0FF82CB7h</v>
      </c>
      <c r="F55">
        <f>HEX2DEC("A0000000")</f>
        <v>2684354560</v>
      </c>
    </row>
    <row r="57" spans="3:6" x14ac:dyDescent="0.25">
      <c r="C57">
        <f ca="1">RANDBETWEEN(0,255)</f>
        <v>23</v>
      </c>
      <c r="E57" t="str">
        <f ca="1">_xlfn.CONCAT(_xlfn.IFS(C57 &lt; HEX2DEC("A"), DEC2HEX(C57, 1), C57 &lt; HEX2DEC("A0"), DEC2HEX(C57, 2),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9)), "h")</f>
        <v>17h</v>
      </c>
    </row>
  </sheetData>
  <mergeCells count="3">
    <mergeCell ref="B14:B17"/>
    <mergeCell ref="B20:B22"/>
    <mergeCell ref="B38:B40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6CA5D-3102-429E-93A2-9BAD73AA2F71}">
  <sheetPr codeName="Sheet6"/>
  <dimension ref="A1:E60"/>
  <sheetViews>
    <sheetView topLeftCell="A4" workbookViewId="0">
      <selection activeCell="G24" sqref="G24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5.75" thickBot="1" x14ac:dyDescent="0.3">
      <c r="A3" s="8"/>
      <c r="B3" s="26"/>
      <c r="C3" s="25" t="s">
        <v>38</v>
      </c>
      <c r="D3" s="10"/>
    </row>
    <row r="4" spans="1:4" ht="15.75" thickBot="1" x14ac:dyDescent="0.3">
      <c r="A4" s="8"/>
      <c r="B4" s="26"/>
      <c r="C4" s="25" t="s">
        <v>66</v>
      </c>
      <c r="D4" s="10"/>
    </row>
    <row r="5" spans="1:4" ht="15.75" thickBot="1" x14ac:dyDescent="0.3">
      <c r="A5" s="8"/>
      <c r="B5" s="26"/>
      <c r="C5" s="25" t="s">
        <v>39</v>
      </c>
      <c r="D5" s="10"/>
    </row>
    <row r="6" spans="1:4" ht="15.75" thickBot="1" x14ac:dyDescent="0.3">
      <c r="A6" s="8"/>
      <c r="B6" s="26"/>
      <c r="C6" s="27"/>
      <c r="D6" s="10"/>
    </row>
    <row r="7" spans="1:4" ht="15.75" thickBot="1" x14ac:dyDescent="0.3">
      <c r="A7" s="8"/>
      <c r="B7" s="26"/>
      <c r="C7" s="27" t="s">
        <v>20</v>
      </c>
      <c r="D7" s="10"/>
    </row>
    <row r="8" spans="1:4" ht="15.75" thickBot="1" x14ac:dyDescent="0.3">
      <c r="A8" s="8"/>
      <c r="B8" s="26"/>
      <c r="C8" s="27" t="str">
        <f ca="1">_xlfn.CONCAT(".stack ", C60)</f>
        <v>.stack 110</v>
      </c>
      <c r="D8" s="10"/>
    </row>
    <row r="9" spans="1:4" ht="16.5" customHeight="1" thickBot="1" x14ac:dyDescent="0.3">
      <c r="A9" s="7"/>
      <c r="B9" s="28"/>
      <c r="C9" s="29" t="s">
        <v>16</v>
      </c>
      <c r="D9" s="10"/>
    </row>
    <row r="10" spans="1:4" ht="17.100000000000001" customHeight="1" thickBot="1" x14ac:dyDescent="0.3">
      <c r="A10" s="7"/>
      <c r="B10" s="111"/>
      <c r="C10" s="30" t="str">
        <f ca="1">_xlfn.CONCAT("  var1 DW ", E49)</f>
        <v xml:space="preserve">  var1 DW 15A8h</v>
      </c>
      <c r="D10" s="10"/>
    </row>
    <row r="11" spans="1:4" ht="17.100000000000001" customHeight="1" thickBot="1" x14ac:dyDescent="0.3">
      <c r="A11" s="7"/>
      <c r="B11" s="111"/>
      <c r="C11" s="31" t="str">
        <f ca="1">_xlfn.CONCAT("  var2 DW ", E50)</f>
        <v xml:space="preserve">  var2 DW 0A3Dh</v>
      </c>
      <c r="D11" s="10"/>
    </row>
    <row r="12" spans="1:4" ht="17.100000000000001" customHeight="1" thickBot="1" x14ac:dyDescent="0.3">
      <c r="A12" s="7"/>
      <c r="B12" s="111"/>
      <c r="C12" s="31" t="str">
        <f ca="1">_xlfn.CONCAT("  var3 DD ", E56)</f>
        <v xml:space="preserve">  var3 DD 480CDCBAh</v>
      </c>
      <c r="D12" s="10"/>
    </row>
    <row r="13" spans="1:4" ht="17.100000000000001" customHeight="1" thickBot="1" x14ac:dyDescent="0.3">
      <c r="A13" s="7"/>
      <c r="B13" s="111"/>
      <c r="C13" s="32" t="str">
        <f ca="1">_xlfn.CONCAT("  var4 DB ", E47)</f>
        <v xml:space="preserve">  var4 DB 0C7h</v>
      </c>
      <c r="D13" s="10"/>
    </row>
    <row r="14" spans="1:4" ht="17.100000000000001" customHeight="1" thickBot="1" x14ac:dyDescent="0.3">
      <c r="A14" s="7"/>
      <c r="B14" s="112"/>
      <c r="C14" s="32" t="s">
        <v>67</v>
      </c>
      <c r="D14" s="10"/>
    </row>
    <row r="15" spans="1:4" ht="17.100000000000001" customHeight="1" thickBot="1" x14ac:dyDescent="0.3">
      <c r="A15" s="7"/>
      <c r="B15" s="28"/>
      <c r="C15" s="33" t="s">
        <v>21</v>
      </c>
      <c r="D15" s="10"/>
    </row>
    <row r="16" spans="1:4" ht="17.100000000000001" customHeight="1" thickBot="1" x14ac:dyDescent="0.3">
      <c r="A16" s="7"/>
      <c r="B16" s="28"/>
      <c r="C16" s="33" t="s">
        <v>22</v>
      </c>
      <c r="D16" s="10"/>
    </row>
    <row r="17" spans="1:4" ht="17.100000000000001" customHeight="1" thickBot="1" x14ac:dyDescent="0.3">
      <c r="A17" s="7"/>
      <c r="B17" s="113">
        <v>1</v>
      </c>
      <c r="C17" s="25" t="s">
        <v>51</v>
      </c>
      <c r="D17" s="10"/>
    </row>
    <row r="18" spans="1:4" ht="17.100000000000001" customHeight="1" thickBot="1" x14ac:dyDescent="0.3">
      <c r="A18" s="7"/>
      <c r="B18" s="111"/>
      <c r="C18" s="31" t="s">
        <v>49</v>
      </c>
      <c r="D18" s="10"/>
    </row>
    <row r="19" spans="1:4" ht="17.100000000000001" customHeight="1" thickBot="1" x14ac:dyDescent="0.3">
      <c r="A19" s="7"/>
      <c r="B19" s="112"/>
      <c r="C19" s="32" t="s">
        <v>50</v>
      </c>
      <c r="D19" s="10"/>
    </row>
    <row r="20" spans="1:4" ht="17.100000000000001" customHeight="1" thickBot="1" x14ac:dyDescent="0.3">
      <c r="A20" s="7"/>
      <c r="B20" s="28"/>
      <c r="C20" s="33" t="s">
        <v>52</v>
      </c>
      <c r="D20" s="10"/>
    </row>
    <row r="21" spans="1:4" ht="17.100000000000001" customHeight="1" thickBot="1" x14ac:dyDescent="0.3">
      <c r="A21" s="7"/>
      <c r="B21" s="28"/>
      <c r="C21" s="33" t="str">
        <f ca="1">_xlfn.CONCAT("  mov AX ", E54)</f>
        <v xml:space="preserve">  mov AX 0EDE2h</v>
      </c>
      <c r="D21" s="10"/>
    </row>
    <row r="22" spans="1:4" ht="17.100000000000001" customHeight="1" thickBot="1" x14ac:dyDescent="0.3">
      <c r="A22" s="7"/>
      <c r="B22" s="28"/>
      <c r="C22" s="33" t="s">
        <v>69</v>
      </c>
      <c r="D22" s="10"/>
    </row>
    <row r="23" spans="1:4" ht="17.100000000000001" customHeight="1" thickBot="1" x14ac:dyDescent="0.3">
      <c r="A23" s="7"/>
      <c r="B23" s="28"/>
      <c r="C23" s="33" t="s">
        <v>70</v>
      </c>
      <c r="D23" s="10"/>
    </row>
    <row r="24" spans="1:4" ht="17.100000000000001" customHeight="1" thickBot="1" x14ac:dyDescent="0.3">
      <c r="A24" s="7"/>
      <c r="B24" s="28">
        <v>2</v>
      </c>
      <c r="C24" s="34" t="s">
        <v>24</v>
      </c>
      <c r="D24" s="10"/>
    </row>
    <row r="25" spans="1:4" ht="17.100000000000001" customHeight="1" thickBot="1" x14ac:dyDescent="0.3">
      <c r="A25" s="7"/>
      <c r="B25" s="28">
        <v>3</v>
      </c>
      <c r="C25" s="34" t="s">
        <v>25</v>
      </c>
      <c r="D25" s="10"/>
    </row>
    <row r="26" spans="1:4" ht="17.100000000000001" customHeight="1" thickBot="1" x14ac:dyDescent="0.3">
      <c r="A26" s="7"/>
      <c r="B26" s="28">
        <v>4</v>
      </c>
      <c r="C26" s="34" t="s">
        <v>26</v>
      </c>
      <c r="D26" s="10"/>
    </row>
    <row r="27" spans="1:4" ht="17.100000000000001" customHeight="1" thickBot="1" x14ac:dyDescent="0.3">
      <c r="A27" s="7"/>
      <c r="B27" s="28">
        <v>5</v>
      </c>
      <c r="C27" s="34" t="s">
        <v>27</v>
      </c>
      <c r="D27" s="10"/>
    </row>
    <row r="28" spans="1:4" ht="17.100000000000001" customHeight="1" thickBot="1" x14ac:dyDescent="0.3">
      <c r="A28" s="7"/>
      <c r="B28" s="28">
        <v>6</v>
      </c>
      <c r="C28" s="34" t="s">
        <v>28</v>
      </c>
      <c r="D28" s="10"/>
    </row>
    <row r="29" spans="1:4" ht="17.100000000000001" customHeight="1" thickBot="1" x14ac:dyDescent="0.3">
      <c r="A29" s="7"/>
      <c r="B29" s="28">
        <v>7</v>
      </c>
      <c r="C29" s="34" t="s">
        <v>29</v>
      </c>
      <c r="D29" s="10"/>
    </row>
    <row r="30" spans="1:4" ht="17.100000000000001" customHeight="1" thickBot="1" x14ac:dyDescent="0.3">
      <c r="A30" s="7"/>
      <c r="B30" s="28">
        <v>8</v>
      </c>
      <c r="C30" s="34" t="s">
        <v>30</v>
      </c>
      <c r="D30" s="10"/>
    </row>
    <row r="31" spans="1:4" ht="17.100000000000001" customHeight="1" thickBot="1" x14ac:dyDescent="0.3">
      <c r="A31" s="7"/>
      <c r="B31" s="28">
        <v>9</v>
      </c>
      <c r="C31" s="34" t="s">
        <v>31</v>
      </c>
      <c r="D31" s="10"/>
    </row>
    <row r="32" spans="1:4" ht="17.100000000000001" customHeight="1" thickBot="1" x14ac:dyDescent="0.3">
      <c r="A32" s="7"/>
      <c r="B32" s="28">
        <v>10</v>
      </c>
      <c r="C32" s="34" t="s">
        <v>32</v>
      </c>
      <c r="D32" s="10"/>
    </row>
    <row r="33" spans="1:5" ht="17.100000000000001" customHeight="1" thickBot="1" x14ac:dyDescent="0.3">
      <c r="A33" s="7"/>
      <c r="B33" s="28">
        <v>11</v>
      </c>
      <c r="C33" s="34" t="s">
        <v>33</v>
      </c>
      <c r="D33" s="10"/>
    </row>
    <row r="34" spans="1:5" ht="17.100000000000001" customHeight="1" thickBot="1" x14ac:dyDescent="0.3">
      <c r="A34" s="7"/>
      <c r="B34" s="28">
        <v>12</v>
      </c>
      <c r="C34" s="34" t="s">
        <v>34</v>
      </c>
      <c r="D34" s="10"/>
    </row>
    <row r="35" spans="1:5" ht="17.100000000000001" customHeight="1" thickBot="1" x14ac:dyDescent="0.3">
      <c r="A35" s="7"/>
      <c r="B35" s="28">
        <v>13</v>
      </c>
      <c r="C35" s="34" t="s">
        <v>37</v>
      </c>
      <c r="D35" s="10"/>
    </row>
    <row r="36" spans="1:5" ht="17.100000000000001" customHeight="1" thickBot="1" x14ac:dyDescent="0.3">
      <c r="A36" s="7"/>
      <c r="B36" s="28">
        <v>14</v>
      </c>
      <c r="C36" s="34" t="s">
        <v>35</v>
      </c>
      <c r="D36" s="10"/>
    </row>
    <row r="37" spans="1:5" ht="17.100000000000001" customHeight="1" thickBot="1" x14ac:dyDescent="0.3">
      <c r="A37" s="7"/>
      <c r="B37" s="28">
        <v>15</v>
      </c>
      <c r="C37" s="34" t="s">
        <v>36</v>
      </c>
      <c r="D37" s="10"/>
    </row>
    <row r="38" spans="1:5" ht="17.100000000000001" customHeight="1" thickBot="1" x14ac:dyDescent="0.3">
      <c r="A38" s="9"/>
      <c r="B38" s="113">
        <v>16</v>
      </c>
      <c r="C38" s="35" t="s">
        <v>46</v>
      </c>
      <c r="D38" s="10"/>
    </row>
    <row r="39" spans="1:5" ht="17.100000000000001" customHeight="1" thickBot="1" x14ac:dyDescent="0.3">
      <c r="A39" s="9"/>
      <c r="B39" s="111"/>
      <c r="C39" s="36" t="s">
        <v>47</v>
      </c>
      <c r="D39" s="10"/>
    </row>
    <row r="40" spans="1:5" ht="17.100000000000001" customHeight="1" thickBot="1" x14ac:dyDescent="0.3">
      <c r="A40" s="9"/>
      <c r="B40" s="112"/>
      <c r="C40" s="37" t="s">
        <v>48</v>
      </c>
      <c r="D40" s="10"/>
    </row>
    <row r="41" spans="1:5" ht="17.100000000000001" customHeight="1" thickBot="1" x14ac:dyDescent="0.3">
      <c r="A41" s="9"/>
      <c r="B41" s="28">
        <v>17</v>
      </c>
      <c r="C41" s="34" t="s">
        <v>23</v>
      </c>
      <c r="D41" s="10"/>
    </row>
    <row r="42" spans="1:5" ht="9.9499999999999993" customHeight="1" x14ac:dyDescent="0.25">
      <c r="A42" s="3"/>
      <c r="B42" s="22"/>
      <c r="C42" s="6"/>
      <c r="D42" s="3"/>
    </row>
    <row r="43" spans="1:5" ht="9.9499999999999993" customHeight="1" x14ac:dyDescent="0.25">
      <c r="A43" s="1"/>
      <c r="B43" s="38"/>
      <c r="C43" s="1"/>
      <c r="D43" s="1"/>
    </row>
    <row r="44" spans="1:5" ht="9.9499999999999993" customHeight="1" x14ac:dyDescent="0.25">
      <c r="A44" s="1"/>
      <c r="B44" s="38"/>
      <c r="C44" s="1"/>
      <c r="D44" s="1"/>
    </row>
    <row r="45" spans="1:5" x14ac:dyDescent="0.25">
      <c r="C45" t="s">
        <v>62</v>
      </c>
      <c r="E45" t="s">
        <v>63</v>
      </c>
    </row>
    <row r="46" spans="1:5" x14ac:dyDescent="0.25">
      <c r="C46" s="39" t="s">
        <v>58</v>
      </c>
    </row>
    <row r="47" spans="1:5" x14ac:dyDescent="0.25">
      <c r="C47">
        <f ca="1">RANDBETWEEN(0,255)</f>
        <v>199</v>
      </c>
      <c r="E47" t="str">
        <f ca="1">_xlfn.CONCAT( _xlfn.IFS( C47 &lt; HEX2DEC("A"), DEC2HEX(C47, 1), C47 &lt; HEX2DEC("A0"), DEC2HEX(C47, 2), C47 &lt; HEX2DEC("A00"), DEC2HEX(C47, 3), C47 &lt; HEX2DEC("A000"), DEC2HEX(C47, 4), C47 &lt; HEX2DEC("A0000"), DEC2HEX(C47, 5), C47 &lt; HEX2DEC("A00000"), DEC2HEX(C47, 6), C47 &lt; HEX2DEC("A000000"), DEC2HEX(C47, 7), C47 &lt; HEX2DEC("A0000000"), DEC2HEX(C47, 8), TRUE, DEC2HEX(C47, 9) ), "h" )</f>
        <v>0C7h</v>
      </c>
    </row>
    <row r="48" spans="1:5" x14ac:dyDescent="0.25">
      <c r="C48" s="39" t="s">
        <v>59</v>
      </c>
    </row>
    <row r="49" spans="3:5" x14ac:dyDescent="0.25">
      <c r="C49">
        <f ca="1">RANDBETWEEN(0, 65535)</f>
        <v>5544</v>
      </c>
      <c r="E49" t="str">
        <f ca="1">_xlfn.CONCAT( _xlfn.IFS( C49 &lt; HEX2DEC("A"), DEC2HEX(C49, 1), C49 &lt; HEX2DEC("A0"), DEC2HEX(C49, 2), C49 &lt; HEX2DEC("A00"), DEC2HEX(C49, 3), C49 &lt; HEX2DEC("A000"), DEC2HEX(C49, 4), C49 &lt; HEX2DEC("A0000"), DEC2HEX(C49, 5), C49 &lt; HEX2DEC("A00000"), DEC2HEX(C49, 6), C49 &lt; HEX2DEC("A000000"), DEC2HEX(C49, 7), C49 &lt; HEX2DEC("A0000000"), DEC2HEX(C49, 8), TRUE, DEC2HEX(C49, 9) ), "h" )</f>
        <v>15A8h</v>
      </c>
    </row>
    <row r="50" spans="3:5" x14ac:dyDescent="0.25">
      <c r="C50">
        <f ca="1">RANDBETWEEN(0, 65535)</f>
        <v>2621</v>
      </c>
      <c r="E50" t="str">
        <f ca="1">_xlfn.CONCAT( _xlfn.IFS( C50 &lt; HEX2DEC("A"), DEC2HEX(C50, 1), C50 &lt; HEX2DEC("A0"), DEC2HEX(C50, 2), C50 &lt; HEX2DEC("A00"), DEC2HEX(C50, 3), C50 &lt; HEX2DEC("A000"), DEC2HEX(C50, 4), C50 &lt; HEX2DEC("A0000"), DEC2HEX(C50, 5), C50 &lt; HEX2DEC("A00000"), DEC2HEX(C50, 6), C50 &lt; HEX2DEC("A000000"), DEC2HEX(C50, 7), C50 &lt; HEX2DEC("A0000000"), DEC2HEX(C50, 8), TRUE, DEC2HEX(C50, 9) ), "h" )</f>
        <v>0A3Dh</v>
      </c>
    </row>
    <row r="51" spans="3:5" x14ac:dyDescent="0.25">
      <c r="C51" s="39" t="s">
        <v>60</v>
      </c>
    </row>
    <row r="52" spans="3:5" x14ac:dyDescent="0.25">
      <c r="C52">
        <f ca="1">RANDBETWEEN(256, 65535)</f>
        <v>58011</v>
      </c>
      <c r="E52" t="str">
        <f ca="1">_xlfn.CONCAT( _xlfn.IFS( C52 &lt; HEX2DEC("A"), DEC2HEX(C52, 1), C52 &lt; HEX2DEC("A0"), DEC2HEX(C52, 2), C52 &lt; HEX2DEC("A00"), DEC2HEX(C52, 3), C52 &lt; HEX2DEC("A000"), DEC2HEX(C52, 4), C52 &lt; HEX2DEC("A0000"), DEC2HEX(C52, 5), C52 &lt; HEX2DEC("A00000"), DEC2HEX(C52, 6), C52 &lt; HEX2DEC("A000000"), DEC2HEX(C52, 7), C52 &lt; HEX2DEC("A0000000"), DEC2HEX(C52, 8), TRUE, DEC2HEX(C52, 9) ), "h" )</f>
        <v>0E29Bh</v>
      </c>
    </row>
    <row r="53" spans="3:5" x14ac:dyDescent="0.25">
      <c r="C53" s="39" t="s">
        <v>68</v>
      </c>
    </row>
    <row r="54" spans="3:5" x14ac:dyDescent="0.25">
      <c r="C54">
        <f ca="1">RANDBETWEEN(HEX2DEC("1000"), 65535)</f>
        <v>60898</v>
      </c>
      <c r="E54" t="str">
        <f ca="1">_xlfn.CONCAT( _xlfn.IFS( C54 &lt; HEX2DEC("A"), DEC2HEX(C54, 1), C54 &lt; HEX2DEC("A0"), DEC2HEX(C54, 2), C54 &lt; HEX2DEC("A00"), DEC2HEX(C54, 3), C54 &lt; HEX2DEC("A000"), DEC2HEX(C54, 4), C54 &lt; HEX2DEC("A0000"), DEC2HEX(C54, 5), C54 &lt; HEX2DEC("A00000"), DEC2HEX(C54, 6), C54 &lt; HEX2DEC("A000000"), DEC2HEX(C54, 7), C54 &lt; HEX2DEC("A0000000"), DEC2HEX(C54, 8), TRUE, DEC2HEX(C54, 9) ), "h" )</f>
        <v>0EDE2h</v>
      </c>
    </row>
    <row r="55" spans="3:5" x14ac:dyDescent="0.25">
      <c r="C55" s="39" t="s">
        <v>61</v>
      </c>
    </row>
    <row r="56" spans="3:5" x14ac:dyDescent="0.25">
      <c r="C56">
        <f ca="1">RANDBETWEEN(65536, 4294967295)</f>
        <v>1208802490</v>
      </c>
      <c r="E56" t="str">
        <f ca="1">_xlfn.CONCAT( _xlfn.IFS( C56 &lt; HEX2DEC("A"), DEC2HEX(C56, 1), C56 &lt; HEX2DEC("A0"), DEC2HEX(C56, 2), C56 &lt; HEX2DEC("A00"), DEC2HEX(C56, 3), C56 &lt; HEX2DEC("A000"), DEC2HEX(C56, 4), C56 &lt; HEX2DEC("A0000"), DEC2HEX(C56, 5), C56 &lt; HEX2DEC("A00000"), DEC2HEX(C56, 6), C56 &lt; HEX2DEC("A000000"), DEC2HEX(C56, 7), C56 &lt; HEX2DEC("A0000000"), DEC2HEX(C56, 8), TRUE, DEC2HEX(C56, 9) ), "h" )</f>
        <v>480CDCBAh</v>
      </c>
    </row>
    <row r="57" spans="3:5" x14ac:dyDescent="0.25">
      <c r="C57" t="s">
        <v>64</v>
      </c>
    </row>
    <row r="58" spans="3:5" x14ac:dyDescent="0.25">
      <c r="C58">
        <f ca="1">EVEN(RANDBETWEEN(100, 2048))</f>
        <v>110</v>
      </c>
      <c r="E58" t="str">
        <f ca="1">_xlfn.CONCAT( _xlfn.IFS( C58 &lt; HEX2DEC("A"), DEC2HEX(C58, 1), C58 &lt; HEX2DEC("A0"), DEC2HEX(C58, 2), C58 &lt; HEX2DEC("A00"), DEC2HEX(C58, 3), C58 &lt; HEX2DEC("A000"), DEC2HEX(C58, 4), C58 &lt; HEX2DEC("A0000"), DEC2HEX(C58, 5), C58 &lt; HEX2DEC("A00000"), DEC2HEX(C58, 6), C58 &lt; HEX2DEC("A000000"), DEC2HEX(C58, 7), C58 &lt; HEX2DEC("A0000000"), DEC2HEX(C58, 8), TRUE, DEC2HEX(C58, 9) ), "h" )</f>
        <v>6Eh</v>
      </c>
    </row>
    <row r="59" spans="3:5" x14ac:dyDescent="0.25">
      <c r="C59" t="s">
        <v>65</v>
      </c>
    </row>
    <row r="60" spans="3:5" x14ac:dyDescent="0.25">
      <c r="C60">
        <f ca="1">ROUNDDOWN(C58/100, 1) * 100</f>
        <v>110.00000000000001</v>
      </c>
    </row>
  </sheetData>
  <mergeCells count="3">
    <mergeCell ref="B10:B14"/>
    <mergeCell ref="B17:B19"/>
    <mergeCell ref="B38:B40"/>
  </mergeCells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65867-DBEE-4FCE-B79A-5799140755F5}">
  <sheetPr codeName="Sheet7"/>
  <dimension ref="A1:E70"/>
  <sheetViews>
    <sheetView topLeftCell="A18" workbookViewId="0">
      <selection activeCell="G40" sqref="G40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37.28515625" bestFit="1" customWidth="1"/>
    <col min="4" max="4" width="1.7109375" customWidth="1"/>
    <col min="5" max="5" width="11.710937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24" t="s">
        <v>5</v>
      </c>
      <c r="C2" s="17" t="s">
        <v>14</v>
      </c>
      <c r="D2" s="10"/>
    </row>
    <row r="3" spans="1:4" ht="16.5" thickBot="1" x14ac:dyDescent="0.3">
      <c r="A3" s="8"/>
      <c r="B3" s="24"/>
      <c r="C3" s="40"/>
      <c r="D3" s="10"/>
    </row>
    <row r="4" spans="1:4" ht="15.75" thickBot="1" x14ac:dyDescent="0.3">
      <c r="A4" s="8"/>
      <c r="B4" s="26"/>
      <c r="C4" s="25" t="s">
        <v>38</v>
      </c>
      <c r="D4" s="10"/>
    </row>
    <row r="5" spans="1:4" ht="15.75" thickBot="1" x14ac:dyDescent="0.3">
      <c r="A5" s="8"/>
      <c r="B5" s="26"/>
      <c r="C5" s="25" t="s">
        <v>66</v>
      </c>
      <c r="D5" s="10"/>
    </row>
    <row r="6" spans="1:4" ht="15.75" thickBot="1" x14ac:dyDescent="0.3">
      <c r="A6" s="8"/>
      <c r="B6" s="26"/>
      <c r="C6" s="25" t="s">
        <v>39</v>
      </c>
      <c r="D6" s="10"/>
    </row>
    <row r="7" spans="1:4" ht="15.75" thickBot="1" x14ac:dyDescent="0.3">
      <c r="A7" s="8"/>
      <c r="B7" s="26"/>
      <c r="C7" s="27"/>
      <c r="D7" s="10"/>
    </row>
    <row r="8" spans="1:4" ht="16.5" thickBot="1" x14ac:dyDescent="0.3">
      <c r="A8" s="8"/>
      <c r="B8" s="26"/>
      <c r="C8" s="42" t="s">
        <v>87</v>
      </c>
      <c r="D8" s="10"/>
    </row>
    <row r="9" spans="1:4" ht="15.75" thickBot="1" x14ac:dyDescent="0.3">
      <c r="A9" s="8"/>
      <c r="B9" s="26"/>
      <c r="C9" s="27"/>
      <c r="D9" s="10"/>
    </row>
    <row r="10" spans="1:4" ht="15.75" thickBot="1" x14ac:dyDescent="0.3">
      <c r="A10" s="8"/>
      <c r="B10" s="26"/>
      <c r="C10" s="27" t="s">
        <v>20</v>
      </c>
      <c r="D10" s="10"/>
    </row>
    <row r="11" spans="1:4" ht="15.75" thickBot="1" x14ac:dyDescent="0.3">
      <c r="A11" s="8"/>
      <c r="B11" s="26">
        <v>1</v>
      </c>
      <c r="C11" s="27" t="str">
        <f ca="1">_xlfn.CONCAT(".stack ", C70)</f>
        <v>.stack 210</v>
      </c>
      <c r="D11" s="10"/>
    </row>
    <row r="12" spans="1:4" ht="16.5" customHeight="1" thickBot="1" x14ac:dyDescent="0.3">
      <c r="A12" s="7"/>
      <c r="B12" s="28"/>
      <c r="C12" s="29" t="s">
        <v>16</v>
      </c>
      <c r="D12" s="10"/>
    </row>
    <row r="13" spans="1:4" ht="17.100000000000001" customHeight="1" thickBot="1" x14ac:dyDescent="0.3">
      <c r="A13" s="7"/>
      <c r="B13" s="111">
        <v>2</v>
      </c>
      <c r="C13" s="30" t="str">
        <f ca="1">_xlfn.CONCAT("  var1 DW ", E59)</f>
        <v xml:space="preserve">  var1 DW 9F13h</v>
      </c>
      <c r="D13" s="10"/>
    </row>
    <row r="14" spans="1:4" ht="17.100000000000001" customHeight="1" thickBot="1" x14ac:dyDescent="0.3">
      <c r="A14" s="7"/>
      <c r="B14" s="111"/>
      <c r="C14" s="31" t="str">
        <f ca="1">_xlfn.CONCAT("  var2 DW ", E60)</f>
        <v xml:space="preserve">  var2 DW 0EDE6h</v>
      </c>
      <c r="D14" s="10"/>
    </row>
    <row r="15" spans="1:4" ht="17.100000000000001" customHeight="1" thickBot="1" x14ac:dyDescent="0.3">
      <c r="A15" s="7"/>
      <c r="B15" s="111"/>
      <c r="C15" s="31" t="str">
        <f ca="1">_xlfn.CONCAT("  var3 DD ", E66)</f>
        <v xml:space="preserve">  var3 DD 6903DB22h</v>
      </c>
      <c r="D15" s="10"/>
    </row>
    <row r="16" spans="1:4" ht="17.100000000000001" customHeight="1" thickBot="1" x14ac:dyDescent="0.3">
      <c r="A16" s="7"/>
      <c r="B16" s="111"/>
      <c r="C16" s="32" t="str">
        <f ca="1">_xlfn.CONCAT("  var4 DB ", E57)</f>
        <v xml:space="preserve">  var4 DB 5Fh</v>
      </c>
      <c r="D16" s="10"/>
    </row>
    <row r="17" spans="1:4" ht="17.100000000000001" customHeight="1" thickBot="1" x14ac:dyDescent="0.3">
      <c r="A17" s="7"/>
      <c r="B17" s="112"/>
      <c r="C17" s="32" t="s">
        <v>67</v>
      </c>
      <c r="D17" s="10"/>
    </row>
    <row r="18" spans="1:4" ht="17.100000000000001" customHeight="1" thickBot="1" x14ac:dyDescent="0.3">
      <c r="A18" s="7"/>
      <c r="B18" s="28"/>
      <c r="C18" s="33" t="s">
        <v>21</v>
      </c>
      <c r="D18" s="10"/>
    </row>
    <row r="19" spans="1:4" ht="17.100000000000001" customHeight="1" thickBot="1" x14ac:dyDescent="0.3">
      <c r="A19" s="7"/>
      <c r="B19" s="28"/>
      <c r="C19" s="33" t="s">
        <v>22</v>
      </c>
      <c r="D19" s="10"/>
    </row>
    <row r="20" spans="1:4" ht="17.100000000000001" customHeight="1" x14ac:dyDescent="0.25">
      <c r="A20" s="7"/>
      <c r="B20" s="113">
        <v>3</v>
      </c>
      <c r="C20" s="41" t="s">
        <v>75</v>
      </c>
      <c r="D20" s="10"/>
    </row>
    <row r="21" spans="1:4" ht="17.100000000000001" customHeight="1" x14ac:dyDescent="0.25">
      <c r="A21" s="7"/>
      <c r="B21" s="111"/>
      <c r="C21" s="41" t="s">
        <v>76</v>
      </c>
      <c r="D21" s="10"/>
    </row>
    <row r="22" spans="1:4" ht="17.100000000000001" customHeight="1" thickBot="1" x14ac:dyDescent="0.3">
      <c r="A22" s="7"/>
      <c r="B22" s="112"/>
      <c r="C22" s="41" t="s">
        <v>77</v>
      </c>
      <c r="D22" s="10"/>
    </row>
    <row r="23" spans="1:4" ht="17.100000000000001" customHeight="1" thickBot="1" x14ac:dyDescent="0.3">
      <c r="A23" s="7"/>
      <c r="B23" s="28"/>
      <c r="C23" s="41" t="s">
        <v>78</v>
      </c>
      <c r="D23" s="10"/>
    </row>
    <row r="24" spans="1:4" ht="17.100000000000001" customHeight="1" thickBot="1" x14ac:dyDescent="0.3">
      <c r="A24" s="7"/>
      <c r="B24" s="28">
        <v>4</v>
      </c>
      <c r="C24" s="41" t="s">
        <v>79</v>
      </c>
      <c r="D24" s="10"/>
    </row>
    <row r="25" spans="1:4" ht="17.100000000000001" customHeight="1" thickBot="1" x14ac:dyDescent="0.3">
      <c r="A25" s="7"/>
      <c r="B25" s="28">
        <v>5</v>
      </c>
      <c r="C25" s="33" t="str">
        <f>_xlfn.CONCAT("  mov AX ", E58)</f>
        <v xml:space="preserve">  mov AX </v>
      </c>
      <c r="D25" s="10"/>
    </row>
    <row r="26" spans="1:4" ht="17.100000000000001" customHeight="1" thickBot="1" x14ac:dyDescent="0.3">
      <c r="A26" s="7"/>
      <c r="B26" s="28">
        <v>6</v>
      </c>
      <c r="C26" s="41" t="s">
        <v>80</v>
      </c>
      <c r="D26" s="10"/>
    </row>
    <row r="27" spans="1:4" ht="17.100000000000001" customHeight="1" thickBot="1" x14ac:dyDescent="0.3">
      <c r="A27" s="7"/>
      <c r="B27" s="28">
        <v>7</v>
      </c>
      <c r="C27" s="41" t="s">
        <v>81</v>
      </c>
      <c r="D27" s="10"/>
    </row>
    <row r="28" spans="1:4" ht="17.100000000000001" customHeight="1" thickBot="1" x14ac:dyDescent="0.3">
      <c r="A28" s="7"/>
      <c r="B28" s="28">
        <v>8</v>
      </c>
      <c r="C28" s="41" t="s">
        <v>81</v>
      </c>
      <c r="D28" s="10"/>
    </row>
    <row r="29" spans="1:4" ht="17.100000000000001" customHeight="1" thickBot="1" x14ac:dyDescent="0.3">
      <c r="A29" s="7"/>
      <c r="B29" s="28">
        <v>9</v>
      </c>
      <c r="C29" s="41" t="s">
        <v>82</v>
      </c>
      <c r="D29" s="10"/>
    </row>
    <row r="30" spans="1:4" ht="17.100000000000001" customHeight="1" thickBot="1" x14ac:dyDescent="0.3">
      <c r="A30" s="7"/>
      <c r="B30" s="28">
        <v>10</v>
      </c>
      <c r="C30" s="41" t="s">
        <v>83</v>
      </c>
      <c r="D30" s="10"/>
    </row>
    <row r="31" spans="1:4" ht="17.100000000000001" customHeight="1" thickBot="1" x14ac:dyDescent="0.3">
      <c r="A31" s="7"/>
      <c r="B31" s="28">
        <v>11</v>
      </c>
      <c r="C31" s="41" t="s">
        <v>84</v>
      </c>
      <c r="D31" s="10"/>
    </row>
    <row r="32" spans="1:4" ht="17.100000000000001" customHeight="1" thickBot="1" x14ac:dyDescent="0.3">
      <c r="A32" s="7"/>
      <c r="B32" s="28">
        <v>12</v>
      </c>
      <c r="C32" s="41" t="s">
        <v>85</v>
      </c>
      <c r="D32" s="10"/>
    </row>
    <row r="33" spans="1:4" ht="17.100000000000001" customHeight="1" thickBot="1" x14ac:dyDescent="0.3">
      <c r="A33" s="7"/>
      <c r="B33" s="28">
        <v>13</v>
      </c>
      <c r="C33" s="41" t="s">
        <v>86</v>
      </c>
      <c r="D33" s="10"/>
    </row>
    <row r="34" spans="1:4" ht="17.100000000000001" customHeight="1" thickBot="1" x14ac:dyDescent="0.3">
      <c r="A34" s="7"/>
      <c r="B34" s="28">
        <v>14</v>
      </c>
      <c r="C34" s="34"/>
      <c r="D34" s="10"/>
    </row>
    <row r="35" spans="1:4" ht="17.100000000000001" customHeight="1" thickBot="1" x14ac:dyDescent="0.3">
      <c r="A35" s="7"/>
      <c r="B35" s="28">
        <v>15</v>
      </c>
      <c r="C35" s="34"/>
      <c r="D35" s="10"/>
    </row>
    <row r="36" spans="1:4" ht="17.100000000000001" customHeight="1" thickBot="1" x14ac:dyDescent="0.3">
      <c r="A36" s="7"/>
      <c r="B36" s="28">
        <v>16</v>
      </c>
      <c r="C36" s="34" t="s">
        <v>26</v>
      </c>
      <c r="D36" s="10"/>
    </row>
    <row r="37" spans="1:4" ht="17.100000000000001" customHeight="1" thickBot="1" x14ac:dyDescent="0.3">
      <c r="A37" s="7"/>
      <c r="B37" s="28">
        <v>17</v>
      </c>
      <c r="C37" s="34" t="s">
        <v>27</v>
      </c>
      <c r="D37" s="10"/>
    </row>
    <row r="38" spans="1:4" ht="17.100000000000001" customHeight="1" thickBot="1" x14ac:dyDescent="0.3">
      <c r="A38" s="7"/>
      <c r="B38" s="28">
        <v>18</v>
      </c>
      <c r="C38" s="34" t="s">
        <v>28</v>
      </c>
      <c r="D38" s="10"/>
    </row>
    <row r="39" spans="1:4" ht="17.100000000000001" customHeight="1" thickBot="1" x14ac:dyDescent="0.3">
      <c r="A39" s="7"/>
      <c r="B39" s="28">
        <v>19</v>
      </c>
      <c r="C39" s="34" t="s">
        <v>29</v>
      </c>
      <c r="D39" s="10"/>
    </row>
    <row r="40" spans="1:4" ht="17.100000000000001" customHeight="1" thickBot="1" x14ac:dyDescent="0.3">
      <c r="A40" s="7"/>
      <c r="B40" s="28">
        <v>20</v>
      </c>
      <c r="C40" s="34" t="s">
        <v>30</v>
      </c>
      <c r="D40" s="10"/>
    </row>
    <row r="41" spans="1:4" ht="17.100000000000001" customHeight="1" thickBot="1" x14ac:dyDescent="0.3">
      <c r="A41" s="7"/>
      <c r="B41" s="28">
        <v>21</v>
      </c>
      <c r="C41" s="34" t="s">
        <v>31</v>
      </c>
      <c r="D41" s="10"/>
    </row>
    <row r="42" spans="1:4" ht="17.100000000000001" customHeight="1" thickBot="1" x14ac:dyDescent="0.3">
      <c r="A42" s="7"/>
      <c r="B42" s="28">
        <v>22</v>
      </c>
      <c r="C42" s="34" t="s">
        <v>32</v>
      </c>
      <c r="D42" s="10"/>
    </row>
    <row r="43" spans="1:4" ht="17.100000000000001" customHeight="1" thickBot="1" x14ac:dyDescent="0.3">
      <c r="A43" s="7"/>
      <c r="B43" s="28">
        <v>23</v>
      </c>
      <c r="C43" s="34" t="s">
        <v>33</v>
      </c>
      <c r="D43" s="10"/>
    </row>
    <row r="44" spans="1:4" ht="17.100000000000001" customHeight="1" thickBot="1" x14ac:dyDescent="0.3">
      <c r="A44" s="7"/>
      <c r="B44" s="28">
        <v>24</v>
      </c>
      <c r="C44" s="34" t="s">
        <v>34</v>
      </c>
      <c r="D44" s="10"/>
    </row>
    <row r="45" spans="1:4" ht="17.100000000000001" customHeight="1" thickBot="1" x14ac:dyDescent="0.3">
      <c r="A45" s="7"/>
      <c r="B45" s="28">
        <v>25</v>
      </c>
      <c r="C45" s="34" t="s">
        <v>37</v>
      </c>
      <c r="D45" s="10"/>
    </row>
    <row r="46" spans="1:4" ht="17.100000000000001" customHeight="1" thickBot="1" x14ac:dyDescent="0.3">
      <c r="A46" s="7"/>
      <c r="B46" s="28">
        <v>26</v>
      </c>
      <c r="C46" s="34" t="s">
        <v>35</v>
      </c>
      <c r="D46" s="10"/>
    </row>
    <row r="47" spans="1:4" ht="17.100000000000001" customHeight="1" thickBot="1" x14ac:dyDescent="0.3">
      <c r="A47" s="7"/>
      <c r="B47" s="28">
        <v>27</v>
      </c>
      <c r="C47" s="34" t="s">
        <v>36</v>
      </c>
      <c r="D47" s="10"/>
    </row>
    <row r="48" spans="1:4" ht="17.100000000000001" customHeight="1" thickBot="1" x14ac:dyDescent="0.3">
      <c r="A48" s="9"/>
      <c r="B48" s="113">
        <v>28</v>
      </c>
      <c r="C48" s="35" t="s">
        <v>46</v>
      </c>
      <c r="D48" s="10"/>
    </row>
    <row r="49" spans="1:5" ht="17.100000000000001" customHeight="1" thickBot="1" x14ac:dyDescent="0.3">
      <c r="A49" s="9"/>
      <c r="B49" s="111"/>
      <c r="C49" s="36" t="s">
        <v>47</v>
      </c>
      <c r="D49" s="10"/>
    </row>
    <row r="50" spans="1:5" ht="17.100000000000001" customHeight="1" thickBot="1" x14ac:dyDescent="0.3">
      <c r="A50" s="9"/>
      <c r="B50" s="112"/>
      <c r="C50" s="37" t="s">
        <v>48</v>
      </c>
      <c r="D50" s="10"/>
    </row>
    <row r="51" spans="1:5" ht="17.100000000000001" customHeight="1" thickBot="1" x14ac:dyDescent="0.3">
      <c r="A51" s="9"/>
      <c r="B51" s="28">
        <v>29</v>
      </c>
      <c r="C51" s="34" t="s">
        <v>23</v>
      </c>
      <c r="D51" s="10"/>
    </row>
    <row r="52" spans="1:5" ht="9.9499999999999993" customHeight="1" x14ac:dyDescent="0.25">
      <c r="A52" s="3"/>
      <c r="B52" s="22"/>
      <c r="C52" s="6"/>
      <c r="D52" s="3"/>
    </row>
    <row r="53" spans="1:5" ht="9.9499999999999993" customHeight="1" x14ac:dyDescent="0.25">
      <c r="A53" s="1"/>
      <c r="B53" s="38"/>
      <c r="C53" s="1"/>
      <c r="D53" s="1"/>
    </row>
    <row r="54" spans="1:5" ht="9.9499999999999993" customHeight="1" x14ac:dyDescent="0.25">
      <c r="A54" s="1"/>
      <c r="B54" s="38"/>
      <c r="C54" s="1"/>
      <c r="D54" s="1"/>
    </row>
    <row r="55" spans="1:5" x14ac:dyDescent="0.25">
      <c r="C55" t="s">
        <v>62</v>
      </c>
      <c r="E55" t="s">
        <v>63</v>
      </c>
    </row>
    <row r="56" spans="1:5" x14ac:dyDescent="0.25">
      <c r="C56" s="39" t="s">
        <v>58</v>
      </c>
    </row>
    <row r="57" spans="1:5" x14ac:dyDescent="0.25">
      <c r="C57">
        <f ca="1">RANDBETWEEN(0,255)</f>
        <v>95</v>
      </c>
      <c r="E57" t="str">
        <f ca="1">_xlfn.CONCAT( _xlfn.IFS( C57 &lt; HEX2DEC("A"), DEC2HEX(C57, 1), C57 &lt; HEX2DEC("A0"), DEC2HEX(C57, 2), C57 &lt; HEX2DEC("A00"), DEC2HEX(C57, 3), C57 &lt; HEX2DEC("A000"), DEC2HEX(C57, 4), C57 &lt; HEX2DEC("A0000"), DEC2HEX(C57, 5), C57 &lt; HEX2DEC("A00000"), DEC2HEX(C57, 6), C57 &lt; HEX2DEC("A000000"), DEC2HEX(C57, 7), C57 &lt; HEX2DEC("A0000000"), DEC2HEX(C57, 8), TRUE, DEC2HEX(C57, 9) ), "h" )</f>
        <v>5Fh</v>
      </c>
    </row>
    <row r="58" spans="1:5" x14ac:dyDescent="0.25">
      <c r="C58" s="39" t="s">
        <v>59</v>
      </c>
    </row>
    <row r="59" spans="1:5" x14ac:dyDescent="0.25">
      <c r="C59">
        <f ca="1">RANDBETWEEN(0, 65535)</f>
        <v>40723</v>
      </c>
      <c r="E59" t="str">
        <f ca="1">_xlfn.CONCAT( _xlfn.IFS( C59 &lt; HEX2DEC("A"), DEC2HEX(C59, 1), C59 &lt; HEX2DEC("A0"), DEC2HEX(C59, 2), C59 &lt; HEX2DEC("A00"), DEC2HEX(C59, 3), C59 &lt; HEX2DEC("A000"), DEC2HEX(C59, 4), C59 &lt; HEX2DEC("A0000"), DEC2HEX(C59, 5), C59 &lt; HEX2DEC("A00000"), DEC2HEX(C59, 6), C59 &lt; HEX2DEC("A000000"), DEC2HEX(C59, 7), C59 &lt; HEX2DEC("A0000000"), DEC2HEX(C59, 8), TRUE, DEC2HEX(C59, 9) ), "h" )</f>
        <v>9F13h</v>
      </c>
    </row>
    <row r="60" spans="1:5" x14ac:dyDescent="0.25">
      <c r="C60">
        <f ca="1">RANDBETWEEN(0, 65535)</f>
        <v>60902</v>
      </c>
      <c r="E60" t="str">
        <f ca="1">_xlfn.CONCAT( _xlfn.IFS( C60 &lt; HEX2DEC("A"), DEC2HEX(C60, 1), C60 &lt; HEX2DEC("A0"), DEC2HEX(C60, 2), C60 &lt; HEX2DEC("A00"), DEC2HEX(C60, 3), C60 &lt; HEX2DEC("A000"), DEC2HEX(C60, 4), C60 &lt; HEX2DEC("A0000"), DEC2HEX(C60, 5), C60 &lt; HEX2DEC("A00000"), DEC2HEX(C60, 6), C60 &lt; HEX2DEC("A000000"), DEC2HEX(C60, 7), C60 &lt; HEX2DEC("A0000000"), DEC2HEX(C60, 8), TRUE, DEC2HEX(C60, 9) ), "h" )</f>
        <v>0EDE6h</v>
      </c>
    </row>
    <row r="61" spans="1:5" x14ac:dyDescent="0.25">
      <c r="C61" s="39" t="s">
        <v>60</v>
      </c>
    </row>
    <row r="62" spans="1:5" x14ac:dyDescent="0.25">
      <c r="C62">
        <f ca="1">RANDBETWEEN(256, 65535)</f>
        <v>63171</v>
      </c>
      <c r="E62" t="str">
        <f ca="1">_xlfn.CONCAT( _xlfn.IFS( C62 &lt; HEX2DEC("A"), DEC2HEX(C62, 1), C62 &lt; HEX2DEC("A0"), DEC2HEX(C62, 2), C62 &lt; HEX2DEC("A00"), DEC2HEX(C62, 3), C62 &lt; HEX2DEC("A000"), DEC2HEX(C62, 4), C62 &lt; HEX2DEC("A0000"), DEC2HEX(C62, 5), C62 &lt; HEX2DEC("A00000"), DEC2HEX(C62, 6), C62 &lt; HEX2DEC("A000000"), DEC2HEX(C62, 7), C62 &lt; HEX2DEC("A0000000"), DEC2HEX(C62, 8), TRUE, DEC2HEX(C62, 9) ), "h" )</f>
        <v>0F6C3h</v>
      </c>
    </row>
    <row r="63" spans="1:5" x14ac:dyDescent="0.25">
      <c r="C63" s="39" t="s">
        <v>68</v>
      </c>
    </row>
    <row r="64" spans="1:5" x14ac:dyDescent="0.25">
      <c r="C64">
        <f ca="1">RANDBETWEEN(HEX2DEC("1000"), 65535)</f>
        <v>48240</v>
      </c>
      <c r="E64" t="str">
        <f ca="1">_xlfn.CONCAT( _xlfn.IFS( C64 &lt; HEX2DEC("A"), DEC2HEX(C64, 1), C64 &lt; HEX2DEC("A0"), DEC2HEX(C64, 2), C64 &lt; HEX2DEC("A00"), DEC2HEX(C64, 3), C64 &lt; HEX2DEC("A000"), DEC2HEX(C64, 4), C64 &lt; HEX2DEC("A0000"), DEC2HEX(C64, 5), C64 &lt; HEX2DEC("A00000"), DEC2HEX(C64, 6), C64 &lt; HEX2DEC("A000000"), DEC2HEX(C64, 7), C64 &lt; HEX2DEC("A0000000"), DEC2HEX(C64, 8), TRUE, DEC2HEX(C64, 9) ), "h" )</f>
        <v>0BC70h</v>
      </c>
    </row>
    <row r="65" spans="3:5" x14ac:dyDescent="0.25">
      <c r="C65" s="39" t="s">
        <v>61</v>
      </c>
    </row>
    <row r="66" spans="3:5" x14ac:dyDescent="0.25">
      <c r="C66">
        <f ca="1">RANDBETWEEN(65536, 4294967295)</f>
        <v>1761860386</v>
      </c>
      <c r="E66" t="str">
        <f ca="1">_xlfn.CONCAT( _xlfn.IFS( C66 &lt; HEX2DEC("A"), DEC2HEX(C66, 1), C66 &lt; HEX2DEC("A0"), DEC2HEX(C66, 2), C66 &lt; HEX2DEC("A00"), DEC2HEX(C66, 3), C66 &lt; HEX2DEC("A000"), DEC2HEX(C66, 4), C66 &lt; HEX2DEC("A0000"), DEC2HEX(C66, 5), C66 &lt; HEX2DEC("A00000"), DEC2HEX(C66, 6), C66 &lt; HEX2DEC("A000000"), DEC2HEX(C66, 7), C66 &lt; HEX2DEC("A0000000"), DEC2HEX(C66, 8), TRUE, DEC2HEX(C66, 9) ), "h" )</f>
        <v>6903DB22h</v>
      </c>
    </row>
    <row r="67" spans="3:5" x14ac:dyDescent="0.25">
      <c r="C67" t="s">
        <v>64</v>
      </c>
    </row>
    <row r="68" spans="3:5" x14ac:dyDescent="0.25">
      <c r="C68">
        <f ca="1">EVEN(RANDBETWEEN(100, 2048))</f>
        <v>216</v>
      </c>
      <c r="E68" t="str">
        <f ca="1">_xlfn.CONCAT( _xlfn.IFS( C68 &lt; HEX2DEC("A"), DEC2HEX(C68, 1), C68 &lt; HEX2DEC("A0"), DEC2HEX(C68, 2), C68 &lt; HEX2DEC("A00"), DEC2HEX(C68, 3), C68 &lt; HEX2DEC("A000"), DEC2HEX(C68, 4), C68 &lt; HEX2DEC("A0000"), DEC2HEX(C68, 5), C68 &lt; HEX2DEC("A00000"), DEC2HEX(C68, 6), C68 &lt; HEX2DEC("A000000"), DEC2HEX(C68, 7), C68 &lt; HEX2DEC("A0000000"), DEC2HEX(C68, 8), TRUE, DEC2HEX(C68, 9) ), "h" )</f>
        <v>0D8h</v>
      </c>
    </row>
    <row r="69" spans="3:5" x14ac:dyDescent="0.25">
      <c r="C69" t="s">
        <v>65</v>
      </c>
    </row>
    <row r="70" spans="3:5" x14ac:dyDescent="0.25">
      <c r="C70">
        <f ca="1">ROUNDDOWN(C68/100, 1) * 100</f>
        <v>210</v>
      </c>
    </row>
  </sheetData>
  <mergeCells count="3">
    <mergeCell ref="B13:B17"/>
    <mergeCell ref="B20:B22"/>
    <mergeCell ref="B48:B50"/>
  </mergeCell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EDA7C9-C36B-465A-9A89-A20328F97A54}">
  <sheetPr codeName="Sheet8"/>
  <dimension ref="A1:E139"/>
  <sheetViews>
    <sheetView topLeftCell="A58" workbookViewId="0">
      <selection activeCell="C17" sqref="C17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42.140625" bestFit="1" customWidth="1"/>
    <col min="4" max="4" width="1.7109375" customWidth="1"/>
    <col min="5" max="5" width="29.28515625" bestFit="1" customWidth="1"/>
    <col min="6" max="6" width="11" bestFit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IF(C139="near", "  _ip dw ?", "  _cs_ip dd ?")</f>
        <v xml:space="preserve">  _cs_ip dd ?</v>
      </c>
      <c r="D5" s="10"/>
    </row>
    <row r="6" spans="1:4" ht="16.5" thickBot="1" x14ac:dyDescent="0.3">
      <c r="A6" s="8"/>
      <c r="B6" s="56"/>
      <c r="C6" s="57" t="s">
        <v>114</v>
      </c>
      <c r="D6" s="10"/>
    </row>
    <row r="7" spans="1:4" ht="16.5" thickBot="1" x14ac:dyDescent="0.3">
      <c r="A7" s="8"/>
      <c r="B7" s="56"/>
      <c r="C7" s="57" t="s">
        <v>115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C120)</f>
        <v>masca equ 1111110011111100b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C107)</f>
        <v>.stack 1680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E98)</f>
        <v xml:space="preserve">  var1 DW 5424h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E99)</f>
        <v xml:space="preserve">  var2 DW 7D8Dh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E92)</f>
        <v xml:space="preserve">  var3 DB 0B2h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E93)</f>
        <v xml:space="preserve">  var4 DB 3Fh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E103)</f>
        <v xml:space="preserve">  var5 DD 0F0D828A3h</v>
      </c>
      <c r="D20" s="10"/>
    </row>
    <row r="21" spans="1:4" ht="17.100000000000001" customHeight="1" thickBot="1" x14ac:dyDescent="0.3">
      <c r="A21" s="7"/>
      <c r="B21" s="104"/>
      <c r="C21" s="57" t="s">
        <v>67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 t="str">
        <f ca="1">_xlfn.CONCAT("proc compNr ", C139)</f>
        <v>proc compNr far</v>
      </c>
      <c r="D23" s="10"/>
    </row>
    <row r="24" spans="1:4" ht="17.100000000000001" customHeight="1" thickBot="1" x14ac:dyDescent="0.3">
      <c r="A24" s="7"/>
      <c r="B24" s="59"/>
      <c r="C24" s="57" t="s">
        <v>116</v>
      </c>
      <c r="D24" s="10"/>
    </row>
    <row r="25" spans="1:4" ht="17.100000000000001" customHeight="1" thickBot="1" x14ac:dyDescent="0.3">
      <c r="A25" s="7"/>
      <c r="B25" s="59"/>
      <c r="C25" s="57" t="s">
        <v>117</v>
      </c>
      <c r="D25" s="10"/>
    </row>
    <row r="26" spans="1:4" ht="17.100000000000001" customHeight="1" thickBot="1" x14ac:dyDescent="0.3">
      <c r="A26" s="7"/>
      <c r="B26" s="59"/>
      <c r="C26" s="57" t="s">
        <v>149</v>
      </c>
      <c r="D26" s="10"/>
    </row>
    <row r="27" spans="1:4" ht="17.100000000000001" customHeight="1" thickBot="1" x14ac:dyDescent="0.3">
      <c r="A27" s="7"/>
      <c r="B27" s="59"/>
      <c r="C27" s="57" t="s">
        <v>118</v>
      </c>
      <c r="D27" s="10"/>
    </row>
    <row r="28" spans="1:4" ht="17.100000000000001" customHeight="1" thickBot="1" x14ac:dyDescent="0.3">
      <c r="A28" s="7"/>
      <c r="B28" s="59"/>
      <c r="C28" s="57" t="s">
        <v>119</v>
      </c>
      <c r="D28" s="10"/>
    </row>
    <row r="29" spans="1:4" ht="17.100000000000001" customHeight="1" thickBot="1" x14ac:dyDescent="0.3">
      <c r="A29" s="7"/>
      <c r="B29" s="59"/>
      <c r="C29" s="57" t="s">
        <v>120</v>
      </c>
      <c r="D29" s="10"/>
    </row>
    <row r="30" spans="1:4" ht="17.100000000000001" customHeight="1" thickBot="1" x14ac:dyDescent="0.3">
      <c r="A30" s="7"/>
      <c r="B30" s="59"/>
      <c r="C30" s="57" t="s">
        <v>121</v>
      </c>
      <c r="D30" s="10"/>
    </row>
    <row r="31" spans="1:4" ht="17.100000000000001" customHeight="1" thickBot="1" x14ac:dyDescent="0.3">
      <c r="A31" s="7"/>
      <c r="B31" s="59"/>
      <c r="C31" s="57" t="s">
        <v>122</v>
      </c>
      <c r="D31" s="10"/>
    </row>
    <row r="32" spans="1:4" ht="17.100000000000001" customHeight="1" thickBot="1" x14ac:dyDescent="0.3">
      <c r="A32" s="7"/>
      <c r="B32" s="59"/>
      <c r="C32" s="57" t="s">
        <v>123</v>
      </c>
      <c r="D32" s="10"/>
    </row>
    <row r="33" spans="1:4" ht="17.100000000000001" customHeight="1" thickBot="1" x14ac:dyDescent="0.3">
      <c r="A33" s="7"/>
      <c r="B33" s="59"/>
      <c r="C33" s="57" t="s">
        <v>124</v>
      </c>
      <c r="D33" s="10"/>
    </row>
    <row r="34" spans="1:4" ht="17.100000000000001" customHeight="1" thickBot="1" x14ac:dyDescent="0.3">
      <c r="A34" s="7"/>
      <c r="B34" s="59"/>
      <c r="C34" s="57" t="s">
        <v>125</v>
      </c>
      <c r="D34" s="10"/>
    </row>
    <row r="35" spans="1:4" ht="17.100000000000001" customHeight="1" thickBot="1" x14ac:dyDescent="0.3">
      <c r="A35" s="7"/>
      <c r="B35" s="59"/>
      <c r="C35" s="57" t="s">
        <v>123</v>
      </c>
      <c r="D35" s="10"/>
    </row>
    <row r="36" spans="1:4" ht="17.100000000000001" customHeight="1" thickBot="1" x14ac:dyDescent="0.3">
      <c r="A36" s="7"/>
      <c r="B36" s="59"/>
      <c r="C36" s="57" t="s">
        <v>126</v>
      </c>
      <c r="D36" s="10"/>
    </row>
    <row r="37" spans="1:4" ht="17.100000000000001" customHeight="1" thickBot="1" x14ac:dyDescent="0.3">
      <c r="A37" s="7"/>
      <c r="B37" s="59"/>
      <c r="C37" s="57" t="s">
        <v>127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128</v>
      </c>
      <c r="D39" s="10"/>
    </row>
    <row r="40" spans="1:4" ht="17.100000000000001" customHeight="1" thickBot="1" x14ac:dyDescent="0.3">
      <c r="A40" s="7"/>
      <c r="B40" s="59"/>
      <c r="C40" s="57" t="s">
        <v>150</v>
      </c>
      <c r="D40" s="10"/>
    </row>
    <row r="41" spans="1:4" ht="17.100000000000001" customHeight="1" thickBot="1" x14ac:dyDescent="0.3">
      <c r="A41" s="7"/>
      <c r="B41" s="59"/>
      <c r="C41" s="57" t="s">
        <v>131</v>
      </c>
      <c r="D41" s="10"/>
    </row>
    <row r="42" spans="1:4" ht="17.100000000000001" customHeight="1" thickBot="1" x14ac:dyDescent="0.3">
      <c r="A42" s="7"/>
      <c r="B42" s="59"/>
      <c r="C42" s="57" t="s">
        <v>129</v>
      </c>
      <c r="D42" s="10"/>
    </row>
    <row r="43" spans="1:4" ht="17.100000000000001" customHeight="1" thickBot="1" x14ac:dyDescent="0.3">
      <c r="A43" s="7"/>
      <c r="B43" s="59"/>
      <c r="C43" s="57" t="s">
        <v>130</v>
      </c>
      <c r="D43" s="10"/>
    </row>
    <row r="44" spans="1:4" ht="17.100000000000001" customHeight="1" thickBot="1" x14ac:dyDescent="0.3">
      <c r="A44" s="7"/>
      <c r="B44" s="59"/>
      <c r="C44" s="57"/>
      <c r="D44" s="10"/>
    </row>
    <row r="45" spans="1:4" ht="17.100000000000001" customHeight="1" thickBot="1" x14ac:dyDescent="0.3">
      <c r="A45" s="7"/>
      <c r="B45" s="59"/>
      <c r="C45" s="57" t="s">
        <v>22</v>
      </c>
      <c r="D45" s="10"/>
    </row>
    <row r="46" spans="1:4" ht="17.100000000000001" customHeight="1" thickBot="1" x14ac:dyDescent="0.3">
      <c r="A46" s="7"/>
      <c r="B46" s="101">
        <v>3</v>
      </c>
      <c r="C46" s="57" t="s">
        <v>51</v>
      </c>
      <c r="D46" s="10"/>
    </row>
    <row r="47" spans="1:4" ht="17.100000000000001" customHeight="1" thickBot="1" x14ac:dyDescent="0.3">
      <c r="A47" s="7"/>
      <c r="B47" s="102"/>
      <c r="C47" s="57" t="s">
        <v>49</v>
      </c>
      <c r="D47" s="10"/>
    </row>
    <row r="48" spans="1:4" ht="17.100000000000001" customHeight="1" thickBot="1" x14ac:dyDescent="0.3">
      <c r="A48" s="7"/>
      <c r="B48" s="103"/>
      <c r="C48" s="57" t="s">
        <v>50</v>
      </c>
      <c r="D48" s="10"/>
    </row>
    <row r="49" spans="1:4" ht="17.100000000000001" customHeight="1" thickBot="1" x14ac:dyDescent="0.3">
      <c r="A49" s="7"/>
      <c r="B49" s="59"/>
      <c r="C49" s="57" t="s">
        <v>52</v>
      </c>
      <c r="D49" s="10"/>
    </row>
    <row r="50" spans="1:4" ht="17.100000000000001" customHeight="1" thickBot="1" x14ac:dyDescent="0.3">
      <c r="A50" s="7"/>
      <c r="B50" s="59">
        <v>4</v>
      </c>
      <c r="C50" s="57" t="s">
        <v>132</v>
      </c>
      <c r="D50" s="10"/>
    </row>
    <row r="51" spans="1:4" ht="17.100000000000001" customHeight="1" thickBot="1" x14ac:dyDescent="0.3">
      <c r="A51" s="7"/>
      <c r="B51" s="59">
        <v>5</v>
      </c>
      <c r="C51" s="57" t="str">
        <f ca="1">_xlfn.CONCAT("  mov AX, ", E101)</f>
        <v xml:space="preserve">  mov AX, 478Bh</v>
      </c>
      <c r="D51" s="10"/>
    </row>
    <row r="52" spans="1:4" ht="17.100000000000001" customHeight="1" thickBot="1" x14ac:dyDescent="0.3">
      <c r="A52" s="7"/>
      <c r="B52" s="59">
        <v>6</v>
      </c>
      <c r="C52" s="57" t="s">
        <v>71</v>
      </c>
      <c r="D52" s="10"/>
    </row>
    <row r="53" spans="1:4" ht="17.100000000000001" customHeight="1" thickBot="1" x14ac:dyDescent="0.3">
      <c r="A53" s="7"/>
      <c r="B53" s="59">
        <v>7</v>
      </c>
      <c r="C53" s="57" t="s">
        <v>72</v>
      </c>
      <c r="D53" s="10"/>
    </row>
    <row r="54" spans="1:4" ht="17.100000000000001" customHeight="1" thickBot="1" x14ac:dyDescent="0.3">
      <c r="A54" s="7"/>
      <c r="B54" s="59">
        <v>8</v>
      </c>
      <c r="C54" s="57" t="s">
        <v>72</v>
      </c>
      <c r="D54" s="10"/>
    </row>
    <row r="55" spans="1:4" ht="17.100000000000001" customHeight="1" thickBot="1" x14ac:dyDescent="0.3">
      <c r="A55" s="7"/>
      <c r="B55" s="59">
        <v>9</v>
      </c>
      <c r="C55" s="57" t="s">
        <v>73</v>
      </c>
      <c r="D55" s="10"/>
    </row>
    <row r="56" spans="1:4" ht="17.100000000000001" customHeight="1" thickBot="1" x14ac:dyDescent="0.3">
      <c r="A56" s="7"/>
      <c r="B56" s="59">
        <v>10</v>
      </c>
      <c r="C56" s="57" t="s">
        <v>74</v>
      </c>
      <c r="D56" s="10"/>
    </row>
    <row r="57" spans="1:4" ht="17.100000000000001" customHeight="1" thickBot="1" x14ac:dyDescent="0.3">
      <c r="A57" s="7"/>
      <c r="B57" s="59">
        <v>11</v>
      </c>
      <c r="C57" s="57" t="str">
        <f ca="1">_xlfn.CONCAT( "  MOV BH, BYTE PTR var5 + ", RANDBETWEEN(1, 3) )</f>
        <v xml:space="preserve">  MOV BH, BYTE PTR var5 + 2</v>
      </c>
      <c r="D57" s="10"/>
    </row>
    <row r="58" spans="1:4" ht="17.100000000000001" customHeight="1" thickBot="1" x14ac:dyDescent="0.3">
      <c r="A58" s="7"/>
      <c r="B58" s="59">
        <v>12</v>
      </c>
      <c r="C58" s="57" t="s">
        <v>95</v>
      </c>
      <c r="D58" s="10"/>
    </row>
    <row r="59" spans="1:4" ht="17.100000000000001" customHeight="1" thickBot="1" x14ac:dyDescent="0.3">
      <c r="A59" s="7"/>
      <c r="B59" s="59">
        <v>13</v>
      </c>
      <c r="C59" s="57" t="s">
        <v>96</v>
      </c>
      <c r="D59" s="10"/>
    </row>
    <row r="60" spans="1:4" ht="17.100000000000001" customHeight="1" thickBot="1" x14ac:dyDescent="0.3">
      <c r="A60" s="7"/>
      <c r="B60" s="59">
        <v>14</v>
      </c>
      <c r="C60" s="57" t="str">
        <f ca="1">_xlfn.CONCAT( "  MOV CL, ", RANDBETWEEN(1, 3) )</f>
        <v xml:space="preserve">  MOV CL, 3</v>
      </c>
      <c r="D60" s="10"/>
    </row>
    <row r="61" spans="1:4" ht="17.100000000000001" customHeight="1" thickBot="1" x14ac:dyDescent="0.3">
      <c r="A61" s="7"/>
      <c r="B61" s="59">
        <v>15</v>
      </c>
      <c r="C61" s="57" t="str">
        <f ca="1">_xlfn.CONCAT("  ",C129," BX, CL")</f>
        <v xml:space="preserve">  ROL BX, CL</v>
      </c>
      <c r="D61" s="10"/>
    </row>
    <row r="62" spans="1:4" ht="17.100000000000001" customHeight="1" thickBot="1" x14ac:dyDescent="0.3">
      <c r="A62" s="7"/>
      <c r="B62" s="59">
        <v>16</v>
      </c>
      <c r="C62" s="57" t="s">
        <v>109</v>
      </c>
      <c r="D62" s="10"/>
    </row>
    <row r="63" spans="1:4" ht="17.100000000000001" customHeight="1" thickBot="1" x14ac:dyDescent="0.3">
      <c r="A63" s="7"/>
      <c r="B63" s="59">
        <v>17</v>
      </c>
      <c r="C63" s="57" t="s">
        <v>27</v>
      </c>
      <c r="D63" s="10"/>
    </row>
    <row r="64" spans="1:4" ht="17.100000000000001" customHeight="1" thickBot="1" x14ac:dyDescent="0.3">
      <c r="A64" s="7"/>
      <c r="B64" s="59">
        <v>18</v>
      </c>
      <c r="C64" s="57" t="s">
        <v>28</v>
      </c>
      <c r="D64" s="10"/>
    </row>
    <row r="65" spans="1:5" ht="17.100000000000001" customHeight="1" thickBot="1" x14ac:dyDescent="0.3">
      <c r="A65" s="7"/>
      <c r="B65" s="59">
        <v>19</v>
      </c>
      <c r="C65" s="57" t="s">
        <v>113</v>
      </c>
      <c r="D65" s="10"/>
    </row>
    <row r="66" spans="1:5" ht="17.100000000000001" customHeight="1" thickBot="1" x14ac:dyDescent="0.3">
      <c r="A66" s="7"/>
      <c r="B66" s="59"/>
      <c r="C66" s="57" t="s">
        <v>141</v>
      </c>
      <c r="D66" s="10"/>
    </row>
    <row r="67" spans="1:5" ht="17.100000000000001" customHeight="1" thickBot="1" x14ac:dyDescent="0.3">
      <c r="A67" s="7"/>
      <c r="B67" s="59">
        <v>20</v>
      </c>
      <c r="C67" s="57" t="s">
        <v>140</v>
      </c>
      <c r="D67" s="10"/>
    </row>
    <row r="68" spans="1:5" ht="17.100000000000001" customHeight="1" thickBot="1" x14ac:dyDescent="0.3">
      <c r="A68" s="7"/>
      <c r="B68" s="59">
        <v>21</v>
      </c>
      <c r="C68" s="57" t="s">
        <v>145</v>
      </c>
      <c r="D68" s="10"/>
    </row>
    <row r="69" spans="1:5" ht="17.100000000000001" customHeight="1" thickBot="1" x14ac:dyDescent="0.3">
      <c r="A69" s="7"/>
      <c r="B69" s="59">
        <v>22</v>
      </c>
      <c r="C69" s="57" t="s">
        <v>146</v>
      </c>
      <c r="D69" s="10"/>
    </row>
    <row r="70" spans="1:5" ht="17.100000000000001" customHeight="1" thickBot="1" x14ac:dyDescent="0.3">
      <c r="A70" s="7"/>
      <c r="B70" s="59"/>
      <c r="C70" s="57" t="s">
        <v>147</v>
      </c>
      <c r="D70" s="10"/>
    </row>
    <row r="71" spans="1:5" ht="17.100000000000001" customHeight="1" thickBot="1" x14ac:dyDescent="0.3">
      <c r="A71" s="7"/>
      <c r="B71" s="59">
        <v>23</v>
      </c>
      <c r="C71" s="57" t="s">
        <v>143</v>
      </c>
      <c r="D71" s="10"/>
    </row>
    <row r="72" spans="1:5" ht="17.100000000000001" customHeight="1" thickBot="1" x14ac:dyDescent="0.3">
      <c r="A72" s="7"/>
      <c r="B72" s="59"/>
      <c r="C72" s="57" t="str">
        <f ca="1">_xlfn.CONCAT("  MOV BX, ", (RANDBETWEEN(0, 3) * 4) )</f>
        <v xml:space="preserve">  MOV BX, 12</v>
      </c>
      <c r="D72" s="10"/>
    </row>
    <row r="73" spans="1:5" ht="17.100000000000001" customHeight="1" thickBot="1" x14ac:dyDescent="0.3">
      <c r="A73" s="7"/>
      <c r="B73" s="59"/>
      <c r="C73" s="57" t="s">
        <v>142</v>
      </c>
      <c r="D73" s="10"/>
    </row>
    <row r="74" spans="1:5" ht="17.100000000000001" customHeight="1" thickBot="1" x14ac:dyDescent="0.3">
      <c r="A74" s="7"/>
      <c r="B74" s="59"/>
      <c r="C74" s="57" t="str">
        <f ca="1">IF(E74="  MOV AX, WORD PTR ES:[DI + 0]", "  MOV AX, WORD PTR ES:[DI]", E74)</f>
        <v xml:space="preserve">  MOV AX, WORD PTR ES:[DI + 1]</v>
      </c>
      <c r="D74" s="10"/>
      <c r="E74" t="str">
        <f ca="1">_xlfn.CONCAT("  MOV AX, WORD PTR ES:[DI + ", RANDBETWEEN(0, 3), "]")</f>
        <v xml:space="preserve">  MOV AX, WORD PTR ES:[DI + 1]</v>
      </c>
    </row>
    <row r="75" spans="1:5" ht="17.100000000000001" customHeight="1" thickBot="1" x14ac:dyDescent="0.3">
      <c r="A75" s="7"/>
      <c r="B75" s="59"/>
      <c r="C75" s="57" t="s">
        <v>148</v>
      </c>
      <c r="D75" s="10"/>
    </row>
    <row r="76" spans="1:5" ht="17.100000000000001" customHeight="1" thickBot="1" x14ac:dyDescent="0.3">
      <c r="A76" s="7"/>
      <c r="B76" s="59">
        <v>24</v>
      </c>
      <c r="C76" s="57" t="s">
        <v>144</v>
      </c>
      <c r="D76" s="10"/>
    </row>
    <row r="77" spans="1:5" ht="17.100000000000001" customHeight="1" thickBot="1" x14ac:dyDescent="0.3">
      <c r="A77" s="7"/>
      <c r="B77" s="59">
        <v>25</v>
      </c>
      <c r="C77" s="57" t="str">
        <f ca="1">_xlfn.CONCAT("  MOV BX, ", (RANDBETWEEN(0, 3) * 4) )</f>
        <v xml:space="preserve">  MOV BX, 8</v>
      </c>
      <c r="D77" s="10"/>
    </row>
    <row r="78" spans="1:5" ht="17.100000000000001" customHeight="1" thickBot="1" x14ac:dyDescent="0.3">
      <c r="A78" s="7"/>
      <c r="B78" s="59">
        <v>26</v>
      </c>
      <c r="C78" s="57" t="s">
        <v>142</v>
      </c>
      <c r="D78" s="10"/>
    </row>
    <row r="79" spans="1:5" ht="17.100000000000001" customHeight="1" thickBot="1" x14ac:dyDescent="0.3">
      <c r="A79" s="7"/>
      <c r="B79" s="59"/>
      <c r="C79" s="57" t="str">
        <f ca="1">IF(E79="  MOV AX, WORD PTR ES:[DI + 0]", "  MOV AX, WORD PTR ES:[DI]", E79)</f>
        <v xml:space="preserve">  MOV AX, WORD PTR ES:[DI + 2]</v>
      </c>
      <c r="D79" s="10"/>
      <c r="E79" t="str">
        <f ca="1">_xlfn.CONCAT("  MOV AX, WORD PTR ES:[DI + ", RANDBETWEEN(0, 3), "]")</f>
        <v xml:space="preserve">  MOV AX, WORD PTR ES:[DI + 2]</v>
      </c>
    </row>
    <row r="80" spans="1:5" ht="17.100000000000001" customHeight="1" thickBot="1" x14ac:dyDescent="0.3">
      <c r="A80" s="7"/>
      <c r="B80" s="59">
        <v>27</v>
      </c>
      <c r="C80" s="57" t="s">
        <v>148</v>
      </c>
      <c r="D80" s="10"/>
    </row>
    <row r="81" spans="1:5" ht="17.100000000000001" customHeight="1" thickBot="1" x14ac:dyDescent="0.3">
      <c r="A81" s="9"/>
      <c r="B81" s="101">
        <v>30</v>
      </c>
      <c r="C81" s="57" t="s">
        <v>46</v>
      </c>
      <c r="D81" s="10"/>
    </row>
    <row r="82" spans="1:5" ht="16.5" thickBot="1" x14ac:dyDescent="0.3">
      <c r="A82" s="9"/>
      <c r="B82" s="102"/>
      <c r="C82" s="57" t="s">
        <v>47</v>
      </c>
      <c r="D82" s="10"/>
    </row>
    <row r="83" spans="1:5" ht="16.5" thickBot="1" x14ac:dyDescent="0.3">
      <c r="A83" s="3"/>
      <c r="B83" s="103"/>
      <c r="C83" s="57" t="s">
        <v>48</v>
      </c>
      <c r="D83" s="10"/>
    </row>
    <row r="84" spans="1:5" ht="16.5" thickBot="1" x14ac:dyDescent="0.3">
      <c r="A84" s="1"/>
      <c r="B84" s="59"/>
      <c r="C84" s="57" t="s">
        <v>23</v>
      </c>
      <c r="D84" s="1"/>
    </row>
    <row r="85" spans="1:5" ht="9.9499999999999993" customHeight="1" x14ac:dyDescent="0.25">
      <c r="A85" s="1"/>
      <c r="B85" s="38"/>
      <c r="C85" s="6"/>
      <c r="D85" s="1"/>
    </row>
    <row r="86" spans="1:5" x14ac:dyDescent="0.25">
      <c r="C86" s="1"/>
    </row>
    <row r="87" spans="1:5" x14ac:dyDescent="0.25">
      <c r="C87" s="1"/>
    </row>
    <row r="88" spans="1:5" x14ac:dyDescent="0.25">
      <c r="C88" t="s">
        <v>62</v>
      </c>
      <c r="E88" t="s">
        <v>63</v>
      </c>
    </row>
    <row r="89" spans="1:5" x14ac:dyDescent="0.25">
      <c r="C89" s="39" t="s">
        <v>58</v>
      </c>
    </row>
    <row r="90" spans="1:5" x14ac:dyDescent="0.25">
      <c r="C90">
        <f ca="1">RANDBETWEEN(0,255)</f>
        <v>23</v>
      </c>
      <c r="E90" t="str">
        <f ca="1">_xlfn.CONCAT( _xlfn.IFS( C90 &lt; HEX2DEC("A"), DEC2HEX(C90, 1), C90 &lt; HEX2DEC("A0"), DEC2HEX(C90, 2), C90 &lt; HEX2DEC("A00"), DEC2HEX(C90, 3), C90 &lt; HEX2DEC("A000"), DEC2HEX(C90, 4), C90 &lt; HEX2DEC("A0000"), DEC2HEX(C90, 5), C90 &lt; HEX2DEC("A00000"), DEC2HEX(C90, 6), C90 &lt; HEX2DEC("A000000"), DEC2HEX(C90, 7), C90 &lt; HEX2DEC("A0000000"), DEC2HEX(C90, 8), TRUE, DEC2HEX(C90, 9) ), "h" )</f>
        <v>17h</v>
      </c>
    </row>
    <row r="91" spans="1:5" x14ac:dyDescent="0.25">
      <c r="C91" s="39" t="s">
        <v>103</v>
      </c>
    </row>
    <row r="92" spans="1:5" x14ac:dyDescent="0.25">
      <c r="C92">
        <f ca="1">RANDBETWEEN(1,255)</f>
        <v>178</v>
      </c>
      <c r="E92" t="str">
        <f ca="1">_xlfn.CONCAT( _xlfn.IFS( C92 &lt; HEX2DEC("A"), DEC2HEX(C92, 1), C92 &lt; HEX2DEC("A0"), DEC2HEX(C92, 2), C92 &lt; HEX2DEC("A00"), DEC2HEX(C92, 3), C92 &lt; HEX2DEC("A000"), DEC2HEX(C92, 4), C92 &lt; HEX2DEC("A0000"), DEC2HEX(C92, 5), C92 &lt; HEX2DEC("A00000"), DEC2HEX(C92, 6), C92 &lt; HEX2DEC("A000000"), DEC2HEX(C92, 7), C92 &lt; HEX2DEC("A0000000"), DEC2HEX(C92, 8), TRUE, DEC2HEX(C92, 9) ), "h" )</f>
        <v>0B2h</v>
      </c>
    </row>
    <row r="93" spans="1:5" x14ac:dyDescent="0.25">
      <c r="C93">
        <f ca="1">RANDBETWEEN(1,255)</f>
        <v>63</v>
      </c>
      <c r="E93" t="str">
        <f ca="1">_xlfn.CONCAT( _xlfn.IFS( C93 &lt; HEX2DEC("A"), DEC2HEX(C93, 1), C93 &lt; HEX2DEC("A0"), DEC2HEX(C93, 2), C93 &lt; HEX2DEC("A00"), DEC2HEX(C93, 3), C93 &lt; HEX2DEC("A000"), DEC2HEX(C93, 4), C93 &lt; HEX2DEC("A0000"), DEC2HEX(C93, 5), C93 &lt; HEX2DEC("A00000"), DEC2HEX(C93, 6), C93 &lt; HEX2DEC("A000000"), DEC2HEX(C93, 7), C93 &lt; HEX2DEC("A0000000"), DEC2HEX(C93, 8), TRUE, DEC2HEX(C93, 9) ), "h" )</f>
        <v>3Fh</v>
      </c>
    </row>
    <row r="94" spans="1:5" x14ac:dyDescent="0.25">
      <c r="C94" s="39" t="s">
        <v>59</v>
      </c>
    </row>
    <row r="95" spans="1:5" x14ac:dyDescent="0.25">
      <c r="C95">
        <f ca="1">RANDBETWEEN(0, 65535)</f>
        <v>51918</v>
      </c>
      <c r="E95" t="str">
        <f ca="1">_xlfn.CONCAT( _xlfn.IFS( C95 &lt; HEX2DEC("A"), DEC2HEX(C95, 1), C95 &lt; HEX2DEC("A0"), DEC2HEX(C95, 2), C95 &lt; HEX2DEC("A00"), DEC2HEX(C95, 3), C95 &lt; HEX2DEC("A000"), DEC2HEX(C95, 4), C95 &lt; HEX2DEC("A0000"), DEC2HEX(C95, 5), C95 &lt; HEX2DEC("A00000"), DEC2HEX(C95, 6), C95 &lt; HEX2DEC("A000000"), DEC2HEX(C95, 7), C95 &lt; HEX2DEC("A0000000"), DEC2HEX(C95, 8), TRUE, DEC2HEX(C95, 9) ), "h" )</f>
        <v>0CACEh</v>
      </c>
    </row>
    <row r="96" spans="1:5" x14ac:dyDescent="0.25">
      <c r="C96">
        <f ca="1">RANDBETWEEN(0, 65535)</f>
        <v>15121</v>
      </c>
      <c r="E96" t="str">
        <f ca="1">_xlfn.CONCAT( _xlfn.IFS( C96 &lt; HEX2DEC("A"), DEC2HEX(C96, 1), C96 &lt; HEX2DEC("A0"), DEC2HEX(C96, 2), C96 &lt; HEX2DEC("A00"), DEC2HEX(C96, 3), C96 &lt; HEX2DEC("A000"), DEC2HEX(C96, 4), C96 &lt; HEX2DEC("A0000"), DEC2HEX(C96, 5), C96 &lt; HEX2DEC("A00000"), DEC2HEX(C96, 6), C96 &lt; HEX2DEC("A000000"), DEC2HEX(C96, 7), C96 &lt; HEX2DEC("A0000000"), DEC2HEX(C96, 8), TRUE, DEC2HEX(C96, 9) ), "h" )</f>
        <v>3B11h</v>
      </c>
    </row>
    <row r="97" spans="3:5" x14ac:dyDescent="0.25">
      <c r="C97" s="39" t="s">
        <v>60</v>
      </c>
    </row>
    <row r="98" spans="3:5" x14ac:dyDescent="0.25">
      <c r="C98">
        <f ca="1">RANDBETWEEN(256, 65535)</f>
        <v>21540</v>
      </c>
      <c r="E98" t="str">
        <f ca="1">_xlfn.CONCAT( _xlfn.IFS( C98 &lt; HEX2DEC("A"), DEC2HEX(C98, 1), C98 &lt; HEX2DEC("A0"), DEC2HEX(C98, 2), C98 &lt; HEX2DEC("A00"), DEC2HEX(C98, 3), C98 &lt; HEX2DEC("A000"), DEC2HEX(C98, 4), C98 &lt; HEX2DEC("A0000"), DEC2HEX(C98, 5), C98 &lt; HEX2DEC("A00000"), DEC2HEX(C98, 6), C98 &lt; HEX2DEC("A000000"), DEC2HEX(C98, 7), C98 &lt; HEX2DEC("A0000000"), DEC2HEX(C98, 8), TRUE, DEC2HEX(C98, 9) ), "h" )</f>
        <v>5424h</v>
      </c>
    </row>
    <row r="99" spans="3:5" x14ac:dyDescent="0.25">
      <c r="C99">
        <f ca="1">RANDBETWEEN(256, 65535)</f>
        <v>32141</v>
      </c>
      <c r="E99" t="str">
        <f ca="1">_xlfn.CONCAT( _xlfn.IFS( C99 &lt; HEX2DEC("A"), DEC2HEX(C99, 1), C99 &lt; HEX2DEC("A0"), DEC2HEX(C99, 2), C99 &lt; HEX2DEC("A00"), DEC2HEX(C99, 3), C99 &lt; HEX2DEC("A000"), DEC2HEX(C99, 4), C99 &lt; HEX2DEC("A0000"), DEC2HEX(C99, 5), C99 &lt; HEX2DEC("A00000"), DEC2HEX(C99, 6), C99 &lt; HEX2DEC("A000000"), DEC2HEX(C99, 7), C99 &lt; HEX2DEC("A0000000"), DEC2HEX(C99, 8), TRUE, DEC2HEX(C99, 9) ), "h" )</f>
        <v>7D8Dh</v>
      </c>
    </row>
    <row r="100" spans="3:5" x14ac:dyDescent="0.25">
      <c r="C100" s="39" t="s">
        <v>68</v>
      </c>
    </row>
    <row r="101" spans="3:5" x14ac:dyDescent="0.25">
      <c r="C101">
        <f ca="1">RANDBETWEEN(HEX2DEC("1000"), 65535)</f>
        <v>18315</v>
      </c>
      <c r="E101" t="str">
        <f ca="1">_xlfn.CONCAT( _xlfn.IFS( C101 &lt; HEX2DEC("A"), DEC2HEX(C101, 1), C101 &lt; HEX2DEC("A0"), DEC2HEX(C101, 2), C101 &lt; HEX2DEC("A00"), DEC2HEX(C101, 3), C101 &lt; HEX2DEC("A000"), DEC2HEX(C101, 4), C101 &lt; HEX2DEC("A0000"), DEC2HEX(C101, 5), C101 &lt; HEX2DEC("A00000"), DEC2HEX(C101, 6), C101 &lt; HEX2DEC("A000000"), DEC2HEX(C101, 7), C101 &lt; HEX2DEC("A0000000"), DEC2HEX(C101, 8), TRUE, DEC2HEX(C101, 9) ), "h" )</f>
        <v>478Bh</v>
      </c>
    </row>
    <row r="102" spans="3:5" x14ac:dyDescent="0.25">
      <c r="C102" s="39" t="s">
        <v>61</v>
      </c>
    </row>
    <row r="103" spans="3:5" x14ac:dyDescent="0.25">
      <c r="C103">
        <f ca="1">RANDBETWEEN(65536, 4294967295)</f>
        <v>4040698019</v>
      </c>
      <c r="E103" t="str">
        <f ca="1">_xlfn.CONCAT( _xlfn.IFS( C103 &lt; HEX2DEC("A"), DEC2HEX(C103, 1), C103 &lt; HEX2DEC("A0"), DEC2HEX(C103, 2), C103 &lt; HEX2DEC("A00"), DEC2HEX(C103, 3), C103 &lt; HEX2DEC("A000"), DEC2HEX(C103, 4), C103 &lt; HEX2DEC("A0000"), DEC2HEX(C103, 5), C103 &lt; HEX2DEC("A00000"), DEC2HEX(C103, 6), C103 &lt; HEX2DEC("A000000"), DEC2HEX(C103, 7), C103 &lt; HEX2DEC("A0000000"), DEC2HEX(C103, 8), TRUE, DEC2HEX(C103, 9) ), "h" )</f>
        <v>0F0D828A3h</v>
      </c>
    </row>
    <row r="104" spans="3:5" x14ac:dyDescent="0.25">
      <c r="C104" t="s">
        <v>64</v>
      </c>
    </row>
    <row r="105" spans="3:5" x14ac:dyDescent="0.25">
      <c r="C105">
        <f ca="1">EVEN(RANDBETWEEN(100, 2048))</f>
        <v>1686</v>
      </c>
      <c r="E105" t="str">
        <f ca="1">_xlfn.CONCAT( _xlfn.IFS( C105 &lt; HEX2DEC("A"), DEC2HEX(C105, 1), C105 &lt; HEX2DEC("A0"), DEC2HEX(C105, 2), C105 &lt; HEX2DEC("A00"), DEC2HEX(C105, 3), C105 &lt; HEX2DEC("A000"), DEC2HEX(C105, 4), C105 &lt; HEX2DEC("A0000"), DEC2HEX(C105, 5), C105 &lt; HEX2DEC("A00000"), DEC2HEX(C105, 6), C105 &lt; HEX2DEC("A000000"), DEC2HEX(C105, 7), C105 &lt; HEX2DEC("A0000000"), DEC2HEX(C105, 8), TRUE, DEC2HEX(C105, 9) ), "h" )</f>
        <v>696h</v>
      </c>
    </row>
    <row r="106" spans="3:5" x14ac:dyDescent="0.25">
      <c r="C106" t="s">
        <v>65</v>
      </c>
    </row>
    <row r="107" spans="3:5" x14ac:dyDescent="0.25">
      <c r="C107">
        <f ca="1">ROUNDDOWN(C105/100, 1) * 100</f>
        <v>1680</v>
      </c>
    </row>
    <row r="109" spans="3:5" x14ac:dyDescent="0.25">
      <c r="C109" t="s">
        <v>88</v>
      </c>
    </row>
    <row r="110" spans="3:5" x14ac:dyDescent="0.25">
      <c r="C110" s="53" t="str">
        <f>_xlfn.CONCAT( (HEX2BIN("AA")), (HEX2BIN("AA")), "b" )</f>
        <v>1010101010101010b</v>
      </c>
    </row>
    <row r="111" spans="3:5" x14ac:dyDescent="0.25">
      <c r="C111" t="str">
        <f>_xlfn.CONCAT( (HEX2BIN("FF")), (HEX2BIN("AA")), "b" )</f>
        <v>1111111110101010b</v>
      </c>
    </row>
    <row r="112" spans="3:5" x14ac:dyDescent="0.25">
      <c r="C112" t="str">
        <f>_xlfn.CONCAT( (HEX2BIN("CC")), (HEX2BIN("FF")), "b" )</f>
        <v>1100110011111111b</v>
      </c>
    </row>
    <row r="113" spans="3:3" x14ac:dyDescent="0.25">
      <c r="C113" t="str">
        <f>_xlfn.CONCAT( (HEX2BIN("55", 8)), (HEX2BIN("55", 8)), "b" )</f>
        <v>0101010101010101b</v>
      </c>
    </row>
    <row r="114" spans="3:3" x14ac:dyDescent="0.25">
      <c r="C114" t="str">
        <f>_xlfn.CONCAT( (HEX2BIN("66", 8)), (HEX2BIN("66", 8)), "b" )</f>
        <v>0110011001100110b</v>
      </c>
    </row>
    <row r="115" spans="3:3" x14ac:dyDescent="0.25">
      <c r="C115" t="str">
        <f>_xlfn.CONCAT( (HEX2BIN("99", 8)), (HEX2BIN("99", 8)), "b" )</f>
        <v>1001100110011001b</v>
      </c>
    </row>
    <row r="116" spans="3:3" x14ac:dyDescent="0.25">
      <c r="C116" t="str">
        <f>_xlfn.CONCAT( (HEX2BIN("F3", 8)), (HEX2BIN("F3", 8)), "b" )</f>
        <v>1111001111110011b</v>
      </c>
    </row>
    <row r="117" spans="3:3" x14ac:dyDescent="0.25">
      <c r="C117" t="str">
        <f>_xlfn.CONCAT( (HEX2BIN("FC", 8)), (HEX2BIN("FC", 8)), "b" )</f>
        <v>1111110011111100b</v>
      </c>
    </row>
    <row r="119" spans="3:3" x14ac:dyDescent="0.25">
      <c r="C119" t="s">
        <v>133</v>
      </c>
    </row>
    <row r="120" spans="3:3" x14ac:dyDescent="0.25">
      <c r="C120" t="str" cm="1">
        <f t="array" aca="1" ref="C120" ca="1">INDEX($C$110:$C$117,RANDBETWEEN(1,COUNTA($C$110:$C$117)), 1)</f>
        <v>1111110011111100b</v>
      </c>
    </row>
    <row r="122" spans="3:3" x14ac:dyDescent="0.25">
      <c r="C122" t="s">
        <v>135</v>
      </c>
    </row>
    <row r="123" spans="3:3" x14ac:dyDescent="0.25">
      <c r="C123" t="s">
        <v>105</v>
      </c>
    </row>
    <row r="124" spans="3:3" x14ac:dyDescent="0.25">
      <c r="C124" t="s">
        <v>106</v>
      </c>
    </row>
    <row r="125" spans="3:3" x14ac:dyDescent="0.25">
      <c r="C125" t="s">
        <v>107</v>
      </c>
    </row>
    <row r="126" spans="3:3" x14ac:dyDescent="0.25">
      <c r="C126" t="s">
        <v>108</v>
      </c>
    </row>
    <row r="128" spans="3:3" x14ac:dyDescent="0.25">
      <c r="C128" t="s">
        <v>134</v>
      </c>
    </row>
    <row r="129" spans="3:3" x14ac:dyDescent="0.25">
      <c r="C129" t="str" cm="1">
        <f t="array" aca="1" ref="C129" ca="1">INDEX($C$123:$C$126, RANDBETWEEN(1, COUNTA($C$123:$C$126)), 1)</f>
        <v>ROL</v>
      </c>
    </row>
    <row r="131" spans="3:3" x14ac:dyDescent="0.25">
      <c r="C131" t="s">
        <v>110</v>
      </c>
    </row>
    <row r="132" spans="3:3" x14ac:dyDescent="0.25">
      <c r="C132" t="s">
        <v>111</v>
      </c>
    </row>
    <row r="134" spans="3:3" x14ac:dyDescent="0.25">
      <c r="C134" t="s">
        <v>136</v>
      </c>
    </row>
    <row r="135" spans="3:3" x14ac:dyDescent="0.25">
      <c r="C135" t="s">
        <v>137</v>
      </c>
    </row>
    <row r="136" spans="3:3" x14ac:dyDescent="0.25">
      <c r="C136" t="s">
        <v>138</v>
      </c>
    </row>
    <row r="138" spans="3:3" x14ac:dyDescent="0.25">
      <c r="C138" t="s">
        <v>139</v>
      </c>
    </row>
    <row r="139" spans="3:3" x14ac:dyDescent="0.25">
      <c r="C139" t="str" cm="1">
        <f t="array" aca="1" ref="C139" ca="1">INDEX($C$135:$C$136, RANDBETWEEN(1, COUNTA($C$135:$C$136)), 1)</f>
        <v>far</v>
      </c>
    </row>
  </sheetData>
  <mergeCells count="3">
    <mergeCell ref="B16:B21"/>
    <mergeCell ref="B46:B48"/>
    <mergeCell ref="B81:B83"/>
  </mergeCell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266D5-EC49-46D6-8E21-18B355BB0A66}">
  <sheetPr codeName="Sheet11"/>
  <dimension ref="A1:F171"/>
  <sheetViews>
    <sheetView topLeftCell="C87" zoomScale="85" zoomScaleNormal="85" workbookViewId="0">
      <selection activeCell="C99" sqref="C99"/>
    </sheetView>
  </sheetViews>
  <sheetFormatPr defaultRowHeight="15" x14ac:dyDescent="0.25"/>
  <cols>
    <col min="1" max="1" width="1.7109375" customWidth="1"/>
    <col min="2" max="2" width="7.7109375" style="23" bestFit="1" customWidth="1"/>
    <col min="3" max="3" width="72.85546875" bestFit="1" customWidth="1"/>
    <col min="4" max="4" width="1.7109375" customWidth="1"/>
    <col min="5" max="5" width="29.28515625" bestFit="1" customWidth="1"/>
    <col min="6" max="6" width="8.42578125" bestFit="1" customWidth="1"/>
    <col min="8" max="8" width="0" hidden="1" customWidth="1"/>
  </cols>
  <sheetData>
    <row r="1" spans="1:4" ht="9.9499999999999993" customHeight="1" thickBot="1" x14ac:dyDescent="0.3">
      <c r="A1" s="3"/>
      <c r="B1" s="21"/>
      <c r="C1" s="5"/>
      <c r="D1" s="3"/>
    </row>
    <row r="2" spans="1:4" ht="16.5" thickBot="1" x14ac:dyDescent="0.3">
      <c r="A2" s="8"/>
      <c r="B2" s="54" t="s">
        <v>5</v>
      </c>
      <c r="C2" s="55" t="s">
        <v>14</v>
      </c>
      <c r="D2" s="10"/>
    </row>
    <row r="3" spans="1:4" ht="16.5" thickBot="1" x14ac:dyDescent="0.3">
      <c r="A3" s="8"/>
      <c r="B3" s="56"/>
      <c r="C3" s="57" t="s">
        <v>38</v>
      </c>
      <c r="D3" s="10"/>
    </row>
    <row r="4" spans="1:4" ht="16.5" thickBot="1" x14ac:dyDescent="0.3">
      <c r="A4" s="8"/>
      <c r="B4" s="56"/>
      <c r="C4" s="57" t="s">
        <v>40</v>
      </c>
      <c r="D4" s="10"/>
    </row>
    <row r="5" spans="1:4" ht="16.5" thickBot="1" x14ac:dyDescent="0.3">
      <c r="A5" s="8"/>
      <c r="B5" s="56"/>
      <c r="C5" s="57" t="str">
        <f ca="1">IF(C170="near", "  _ip dw ?", "  _cs_ip dd ?")</f>
        <v xml:space="preserve">  _ip dw ?</v>
      </c>
      <c r="D5" s="10"/>
    </row>
    <row r="6" spans="1:4" ht="16.5" thickBot="1" x14ac:dyDescent="0.3">
      <c r="A6" s="8"/>
      <c r="B6" s="56"/>
      <c r="C6" s="57" t="s">
        <v>173</v>
      </c>
      <c r="D6" s="10"/>
    </row>
    <row r="7" spans="1:4" ht="16.5" thickBot="1" x14ac:dyDescent="0.3">
      <c r="A7" s="8"/>
      <c r="B7" s="56"/>
      <c r="C7" s="57" t="s">
        <v>172</v>
      </c>
      <c r="D7" s="10"/>
    </row>
    <row r="8" spans="1:4" ht="16.5" thickBot="1" x14ac:dyDescent="0.3">
      <c r="A8" s="8"/>
      <c r="B8" s="56"/>
      <c r="C8" s="57" t="s">
        <v>100</v>
      </c>
      <c r="D8" s="10"/>
    </row>
    <row r="9" spans="1:4" ht="16.5" thickBot="1" x14ac:dyDescent="0.3">
      <c r="A9" s="8"/>
      <c r="B9" s="56"/>
      <c r="C9" s="57" t="s">
        <v>39</v>
      </c>
      <c r="D9" s="10"/>
    </row>
    <row r="10" spans="1:4" ht="15.75" thickBot="1" x14ac:dyDescent="0.3">
      <c r="A10" s="8"/>
      <c r="B10" s="56"/>
      <c r="C10" s="58"/>
      <c r="D10" s="10"/>
    </row>
    <row r="11" spans="1:4" ht="16.5" thickBot="1" x14ac:dyDescent="0.3">
      <c r="A11" s="8"/>
      <c r="B11" s="56">
        <v>1</v>
      </c>
      <c r="C11" s="55" t="str">
        <f ca="1">_xlfn.CONCAT("masca equ ", C151)</f>
        <v>masca equ 1100110011111111b</v>
      </c>
      <c r="D11" s="10"/>
    </row>
    <row r="12" spans="1:4" ht="15.75" thickBot="1" x14ac:dyDescent="0.3">
      <c r="A12" s="8"/>
      <c r="B12" s="56"/>
      <c r="C12" s="58"/>
      <c r="D12" s="10"/>
    </row>
    <row r="13" spans="1:4" ht="16.5" thickBot="1" x14ac:dyDescent="0.3">
      <c r="A13" s="8"/>
      <c r="B13" s="56"/>
      <c r="C13" s="57" t="s">
        <v>20</v>
      </c>
      <c r="D13" s="10"/>
    </row>
    <row r="14" spans="1:4" ht="16.5" thickBot="1" x14ac:dyDescent="0.3">
      <c r="A14" s="8"/>
      <c r="B14" s="56">
        <v>2</v>
      </c>
      <c r="C14" s="57" t="str">
        <f ca="1">_xlfn.CONCAT(".stack ", C138)</f>
        <v>.stack 560</v>
      </c>
      <c r="D14" s="10"/>
    </row>
    <row r="15" spans="1:4" ht="16.5" customHeight="1" thickBot="1" x14ac:dyDescent="0.3">
      <c r="A15" s="7"/>
      <c r="B15" s="59"/>
      <c r="C15" s="57" t="s">
        <v>16</v>
      </c>
      <c r="D15" s="10"/>
    </row>
    <row r="16" spans="1:4" ht="17.100000000000001" customHeight="1" thickBot="1" x14ac:dyDescent="0.3">
      <c r="A16" s="7"/>
      <c r="B16" s="104">
        <v>3</v>
      </c>
      <c r="C16" s="57" t="str">
        <f ca="1">_xlfn.CONCAT("  var1 DW ", E127)</f>
        <v xml:space="preserve">  var1 DW 79B9h</v>
      </c>
      <c r="D16" s="10"/>
    </row>
    <row r="17" spans="1:4" ht="17.100000000000001" customHeight="1" thickBot="1" x14ac:dyDescent="0.3">
      <c r="A17" s="7"/>
      <c r="B17" s="104"/>
      <c r="C17" s="57" t="str">
        <f ca="1">_xlfn.CONCAT("  var2 DW ", E128)</f>
        <v xml:space="preserve">  var2 DW 1DC2h</v>
      </c>
      <c r="D17" s="10"/>
    </row>
    <row r="18" spans="1:4" ht="17.100000000000001" customHeight="1" thickBot="1" x14ac:dyDescent="0.3">
      <c r="A18" s="7"/>
      <c r="B18" s="104"/>
      <c r="C18" s="57" t="str">
        <f ca="1">_xlfn.CONCAT("  var3 DB ", E119)</f>
        <v xml:space="preserve">  var3 DB 6Ah</v>
      </c>
      <c r="D18" s="10"/>
    </row>
    <row r="19" spans="1:4" ht="17.100000000000001" customHeight="1" thickBot="1" x14ac:dyDescent="0.3">
      <c r="A19" s="7"/>
      <c r="B19" s="104"/>
      <c r="C19" s="57" t="str">
        <f ca="1">_xlfn.CONCAT("  var4 DB ", E120)</f>
        <v xml:space="preserve">  var4 DB 26h</v>
      </c>
      <c r="D19" s="10"/>
    </row>
    <row r="20" spans="1:4" ht="17.100000000000001" customHeight="1" thickBot="1" x14ac:dyDescent="0.3">
      <c r="A20" s="7"/>
      <c r="B20" s="104"/>
      <c r="C20" s="57" t="str">
        <f ca="1">_xlfn.CONCAT("  var5 DD ", E134)</f>
        <v xml:space="preserve">  var5 DD 0D40D8496h</v>
      </c>
      <c r="D20" s="10"/>
    </row>
    <row r="21" spans="1:4" ht="17.100000000000001" customHeight="1" thickBot="1" x14ac:dyDescent="0.3">
      <c r="A21" s="7"/>
      <c r="B21" s="104"/>
      <c r="C21" s="57" t="s">
        <v>166</v>
      </c>
      <c r="D21" s="10"/>
    </row>
    <row r="22" spans="1:4" ht="17.100000000000001" customHeight="1" thickBot="1" x14ac:dyDescent="0.3">
      <c r="A22" s="7"/>
      <c r="B22" s="59"/>
      <c r="C22" s="57" t="s">
        <v>21</v>
      </c>
      <c r="D22" s="10"/>
    </row>
    <row r="23" spans="1:4" ht="17.100000000000001" customHeight="1" thickBot="1" x14ac:dyDescent="0.3">
      <c r="A23" s="7"/>
      <c r="B23" s="59"/>
      <c r="C23" s="57"/>
      <c r="D23" s="10"/>
    </row>
    <row r="24" spans="1:4" ht="17.100000000000001" customHeight="1" thickBot="1" x14ac:dyDescent="0.3">
      <c r="A24" s="7"/>
      <c r="B24" s="59"/>
      <c r="C24" s="57" t="s">
        <v>171</v>
      </c>
      <c r="D24" s="10"/>
    </row>
    <row r="25" spans="1:4" ht="17.100000000000001" customHeight="1" thickBot="1" x14ac:dyDescent="0.3">
      <c r="A25" s="7"/>
      <c r="B25" s="59"/>
      <c r="C25" s="57" t="s">
        <v>179</v>
      </c>
      <c r="D25" s="10"/>
    </row>
    <row r="26" spans="1:4" ht="17.100000000000001" customHeight="1" thickBot="1" x14ac:dyDescent="0.3">
      <c r="A26" s="7"/>
      <c r="B26" s="59"/>
      <c r="C26" s="57" t="s">
        <v>177</v>
      </c>
      <c r="D26" s="10"/>
    </row>
    <row r="27" spans="1:4" ht="17.100000000000001" customHeight="1" thickBot="1" x14ac:dyDescent="0.3">
      <c r="A27" s="7"/>
      <c r="B27" s="59"/>
      <c r="C27" s="57" t="s">
        <v>178</v>
      </c>
      <c r="D27" s="10"/>
    </row>
    <row r="28" spans="1:4" ht="17.100000000000001" customHeight="1" thickBot="1" x14ac:dyDescent="0.3">
      <c r="A28" s="7"/>
      <c r="B28" s="59"/>
      <c r="C28" s="57" t="s">
        <v>176</v>
      </c>
      <c r="D28" s="10"/>
    </row>
    <row r="29" spans="1:4" ht="17.100000000000001" customHeight="1" thickBot="1" x14ac:dyDescent="0.3">
      <c r="A29" s="7"/>
      <c r="B29" s="59"/>
      <c r="C29" s="57" t="str">
        <f ca="1">_xlfn.CONCAT("proc compNr ", C170)</f>
        <v>proc compNr near</v>
      </c>
      <c r="D29" s="10"/>
    </row>
    <row r="30" spans="1:4" ht="17.100000000000001" customHeight="1" thickBot="1" x14ac:dyDescent="0.3">
      <c r="A30" s="7"/>
      <c r="B30" s="59"/>
      <c r="C30" s="57" t="s">
        <v>116</v>
      </c>
      <c r="D30" s="10"/>
    </row>
    <row r="31" spans="1:4" ht="17.100000000000001" customHeight="1" thickBot="1" x14ac:dyDescent="0.3">
      <c r="A31" s="7"/>
      <c r="B31" s="59"/>
      <c r="C31" s="57" t="s">
        <v>117</v>
      </c>
      <c r="D31" s="10"/>
    </row>
    <row r="32" spans="1:4" ht="17.100000000000001" customHeight="1" thickBot="1" x14ac:dyDescent="0.3">
      <c r="A32" s="7"/>
      <c r="B32" s="59"/>
      <c r="C32" s="57" t="s">
        <v>149</v>
      </c>
      <c r="D32" s="10"/>
    </row>
    <row r="33" spans="1:4" ht="17.100000000000001" customHeight="1" thickBot="1" x14ac:dyDescent="0.3">
      <c r="A33" s="7"/>
      <c r="B33" s="59"/>
      <c r="C33" s="57" t="s">
        <v>175</v>
      </c>
      <c r="D33" s="10"/>
    </row>
    <row r="34" spans="1:4" ht="17.100000000000001" customHeight="1" thickBot="1" x14ac:dyDescent="0.3">
      <c r="A34" s="7"/>
      <c r="B34" s="59"/>
      <c r="C34" s="57" t="s">
        <v>174</v>
      </c>
      <c r="D34" s="10"/>
    </row>
    <row r="35" spans="1:4" ht="17.100000000000001" customHeight="1" thickBot="1" x14ac:dyDescent="0.3">
      <c r="A35" s="7"/>
      <c r="B35" s="59"/>
      <c r="C35" s="57" t="s">
        <v>120</v>
      </c>
      <c r="D35" s="10"/>
    </row>
    <row r="36" spans="1:4" ht="17.100000000000001" customHeight="1" thickBot="1" x14ac:dyDescent="0.3">
      <c r="A36" s="7"/>
      <c r="B36" s="59"/>
      <c r="C36" s="57" t="s">
        <v>121</v>
      </c>
      <c r="D36" s="10"/>
    </row>
    <row r="37" spans="1:4" ht="17.100000000000001" customHeight="1" thickBot="1" x14ac:dyDescent="0.3">
      <c r="A37" s="7"/>
      <c r="B37" s="59"/>
      <c r="C37" s="57" t="s">
        <v>122</v>
      </c>
      <c r="D37" s="10"/>
    </row>
    <row r="38" spans="1:4" ht="17.100000000000001" customHeight="1" thickBot="1" x14ac:dyDescent="0.3">
      <c r="A38" s="7"/>
      <c r="B38" s="59"/>
      <c r="C38" s="57" t="s">
        <v>123</v>
      </c>
      <c r="D38" s="10"/>
    </row>
    <row r="39" spans="1:4" ht="17.100000000000001" customHeight="1" thickBot="1" x14ac:dyDescent="0.3">
      <c r="A39" s="7"/>
      <c r="B39" s="59"/>
      <c r="C39" s="57" t="s">
        <v>124</v>
      </c>
      <c r="D39" s="10"/>
    </row>
    <row r="40" spans="1:4" ht="17.100000000000001" customHeight="1" thickBot="1" x14ac:dyDescent="0.3">
      <c r="A40" s="7"/>
      <c r="B40" s="59"/>
      <c r="C40" s="57" t="s">
        <v>125</v>
      </c>
      <c r="D40" s="10"/>
    </row>
    <row r="41" spans="1:4" ht="17.100000000000001" customHeight="1" thickBot="1" x14ac:dyDescent="0.3">
      <c r="A41" s="7"/>
      <c r="B41" s="59"/>
      <c r="C41" s="57" t="s">
        <v>123</v>
      </c>
      <c r="D41" s="10"/>
    </row>
    <row r="42" spans="1:4" ht="17.100000000000001" customHeight="1" thickBot="1" x14ac:dyDescent="0.3">
      <c r="A42" s="7"/>
      <c r="B42" s="59"/>
      <c r="C42" s="57" t="s">
        <v>126</v>
      </c>
      <c r="D42" s="10"/>
    </row>
    <row r="43" spans="1:4" ht="17.100000000000001" customHeight="1" thickBot="1" x14ac:dyDescent="0.3">
      <c r="A43" s="7"/>
      <c r="B43" s="59"/>
      <c r="C43" s="57" t="s">
        <v>127</v>
      </c>
      <c r="D43" s="10"/>
    </row>
    <row r="44" spans="1:4" ht="17.100000000000001" customHeight="1" thickBot="1" x14ac:dyDescent="0.3">
      <c r="A44" s="7"/>
      <c r="B44" s="59"/>
      <c r="C44" s="57" t="s">
        <v>123</v>
      </c>
      <c r="D44" s="10"/>
    </row>
    <row r="45" spans="1:4" ht="17.100000000000001" customHeight="1" thickBot="1" x14ac:dyDescent="0.3">
      <c r="A45" s="7"/>
      <c r="B45" s="59"/>
      <c r="C45" s="57" t="s">
        <v>128</v>
      </c>
      <c r="D45" s="10"/>
    </row>
    <row r="46" spans="1:4" ht="17.100000000000001" customHeight="1" thickBot="1" x14ac:dyDescent="0.3">
      <c r="A46" s="7"/>
      <c r="B46" s="59"/>
      <c r="C46" s="57" t="s">
        <v>150</v>
      </c>
      <c r="D46" s="10"/>
    </row>
    <row r="47" spans="1:4" ht="17.100000000000001" customHeight="1" thickBot="1" x14ac:dyDescent="0.3">
      <c r="A47" s="7"/>
      <c r="B47" s="59"/>
      <c r="C47" s="57" t="s">
        <v>131</v>
      </c>
      <c r="D47" s="10"/>
    </row>
    <row r="48" spans="1:4" ht="17.100000000000001" customHeight="1" thickBot="1" x14ac:dyDescent="0.3">
      <c r="A48" s="7"/>
      <c r="B48" s="59"/>
      <c r="C48" s="57" t="s">
        <v>129</v>
      </c>
      <c r="D48" s="10"/>
    </row>
    <row r="49" spans="1:4" ht="17.100000000000001" customHeight="1" thickBot="1" x14ac:dyDescent="0.3">
      <c r="A49" s="7"/>
      <c r="B49" s="59"/>
      <c r="C49" s="57" t="s">
        <v>130</v>
      </c>
      <c r="D49" s="10"/>
    </row>
    <row r="50" spans="1:4" ht="17.100000000000001" customHeight="1" thickBot="1" x14ac:dyDescent="0.3">
      <c r="A50" s="7"/>
      <c r="B50" s="59"/>
      <c r="C50" s="57"/>
      <c r="D50" s="10"/>
    </row>
    <row r="51" spans="1:4" ht="17.100000000000001" customHeight="1" thickBot="1" x14ac:dyDescent="0.3">
      <c r="A51" s="7"/>
      <c r="B51" s="59"/>
      <c r="C51" s="57" t="str">
        <f ca="1">_xlfn.CONCAT("proc nuFaceNimic ", C171)</f>
        <v>proc nuFaceNimic near</v>
      </c>
      <c r="D51" s="10"/>
    </row>
    <row r="52" spans="1:4" ht="17.100000000000001" customHeight="1" thickBot="1" x14ac:dyDescent="0.3">
      <c r="A52" s="7"/>
      <c r="B52" s="59"/>
      <c r="C52" s="57" t="s">
        <v>161</v>
      </c>
      <c r="D52" s="10"/>
    </row>
    <row r="53" spans="1:4" ht="17.100000000000001" customHeight="1" thickBot="1" x14ac:dyDescent="0.3">
      <c r="A53" s="7"/>
      <c r="B53" s="59"/>
      <c r="C53" s="57" t="s">
        <v>163</v>
      </c>
      <c r="D53" s="10"/>
    </row>
    <row r="54" spans="1:4" ht="17.100000000000001" customHeight="1" thickBot="1" x14ac:dyDescent="0.3">
      <c r="A54" s="7"/>
      <c r="B54" s="59"/>
      <c r="C54" s="57" t="s">
        <v>162</v>
      </c>
      <c r="D54" s="10"/>
    </row>
    <row r="55" spans="1:4" ht="17.100000000000001" customHeight="1" thickBot="1" x14ac:dyDescent="0.3">
      <c r="A55" s="7"/>
      <c r="B55" s="59"/>
      <c r="C55" s="57"/>
      <c r="D55" s="10"/>
    </row>
    <row r="56" spans="1:4" ht="17.100000000000001" customHeight="1" thickBot="1" x14ac:dyDescent="0.3">
      <c r="A56" s="7"/>
      <c r="B56" s="59"/>
      <c r="C56" s="57" t="s">
        <v>22</v>
      </c>
      <c r="D56" s="10"/>
    </row>
    <row r="57" spans="1:4" ht="17.100000000000001" customHeight="1" thickBot="1" x14ac:dyDescent="0.3">
      <c r="A57" s="7"/>
      <c r="B57" s="101">
        <v>3</v>
      </c>
      <c r="C57" s="57" t="s">
        <v>51</v>
      </c>
      <c r="D57" s="10"/>
    </row>
    <row r="58" spans="1:4" ht="17.100000000000001" customHeight="1" thickBot="1" x14ac:dyDescent="0.3">
      <c r="A58" s="7"/>
      <c r="B58" s="102"/>
      <c r="C58" s="57" t="s">
        <v>49</v>
      </c>
      <c r="D58" s="10"/>
    </row>
    <row r="59" spans="1:4" ht="17.100000000000001" customHeight="1" thickBot="1" x14ac:dyDescent="0.3">
      <c r="A59" s="7"/>
      <c r="B59" s="103"/>
      <c r="C59" s="57" t="s">
        <v>50</v>
      </c>
      <c r="D59" s="10"/>
    </row>
    <row r="60" spans="1:4" ht="17.100000000000001" customHeight="1" thickBot="1" x14ac:dyDescent="0.3">
      <c r="A60" s="7"/>
      <c r="B60" s="59"/>
      <c r="C60" s="57" t="s">
        <v>52</v>
      </c>
      <c r="D60" s="10"/>
    </row>
    <row r="61" spans="1:4" ht="17.100000000000001" customHeight="1" thickBot="1" x14ac:dyDescent="0.3">
      <c r="A61" s="7"/>
      <c r="B61" s="59">
        <v>4</v>
      </c>
      <c r="C61" s="57" t="s">
        <v>132</v>
      </c>
      <c r="D61" s="10"/>
    </row>
    <row r="62" spans="1:4" ht="17.100000000000001" customHeight="1" thickBot="1" x14ac:dyDescent="0.3">
      <c r="A62" s="7"/>
      <c r="B62" s="59">
        <v>5</v>
      </c>
      <c r="C62" s="57" t="str">
        <f ca="1">_xlfn.CONCAT("  mov AX, ", E132)</f>
        <v xml:space="preserve">  mov AX, 9E48h</v>
      </c>
      <c r="D62" s="10"/>
    </row>
    <row r="63" spans="1:4" ht="17.100000000000001" customHeight="1" thickBot="1" x14ac:dyDescent="0.3">
      <c r="A63" s="7"/>
      <c r="B63" s="59">
        <v>6</v>
      </c>
      <c r="C63" s="57" t="s">
        <v>71</v>
      </c>
      <c r="D63" s="10"/>
    </row>
    <row r="64" spans="1:4" ht="17.100000000000001" customHeight="1" thickBot="1" x14ac:dyDescent="0.3">
      <c r="A64" s="7"/>
      <c r="B64" s="59">
        <v>7</v>
      </c>
      <c r="C64" s="57" t="s">
        <v>72</v>
      </c>
      <c r="D64" s="10"/>
    </row>
    <row r="65" spans="1:4" ht="17.100000000000001" customHeight="1" thickBot="1" x14ac:dyDescent="0.3">
      <c r="A65" s="7"/>
      <c r="B65" s="59">
        <v>8</v>
      </c>
      <c r="C65" s="57" t="s">
        <v>72</v>
      </c>
      <c r="D65" s="10"/>
    </row>
    <row r="66" spans="1:4" ht="17.100000000000001" customHeight="1" thickBot="1" x14ac:dyDescent="0.3">
      <c r="A66" s="7"/>
      <c r="B66" s="59">
        <v>9</v>
      </c>
      <c r="C66" s="57" t="s">
        <v>73</v>
      </c>
      <c r="D66" s="10"/>
    </row>
    <row r="67" spans="1:4" ht="17.100000000000001" customHeight="1" thickBot="1" x14ac:dyDescent="0.3">
      <c r="A67" s="7"/>
      <c r="B67" s="59">
        <v>10</v>
      </c>
      <c r="C67" s="57" t="s">
        <v>151</v>
      </c>
      <c r="D67" s="10"/>
    </row>
    <row r="68" spans="1:4" ht="17.100000000000001" customHeight="1" thickBot="1" x14ac:dyDescent="0.3">
      <c r="A68" s="7"/>
      <c r="B68" s="59">
        <v>11</v>
      </c>
      <c r="C68" s="57" t="str">
        <f ca="1">_xlfn.CONCAT( "  MOV DH, BYTE PTR var5 + ", RANDBETWEEN(1, 3) )</f>
        <v xml:space="preserve">  MOV DH, BYTE PTR var5 + 3</v>
      </c>
      <c r="D68" s="10"/>
    </row>
    <row r="69" spans="1:4" ht="17.100000000000001" customHeight="1" thickBot="1" x14ac:dyDescent="0.3">
      <c r="A69" s="7"/>
      <c r="B69" s="59">
        <v>12</v>
      </c>
      <c r="C69" s="57" t="s">
        <v>155</v>
      </c>
      <c r="D69" s="10"/>
    </row>
    <row r="70" spans="1:4" ht="17.100000000000001" customHeight="1" thickBot="1" x14ac:dyDescent="0.3">
      <c r="A70" s="7"/>
      <c r="B70" s="59">
        <v>13</v>
      </c>
      <c r="C70" s="57" t="s">
        <v>152</v>
      </c>
      <c r="D70" s="10"/>
    </row>
    <row r="71" spans="1:4" ht="17.100000000000001" customHeight="1" thickBot="1" x14ac:dyDescent="0.3">
      <c r="A71" s="7"/>
      <c r="B71" s="59">
        <v>14</v>
      </c>
      <c r="C71" s="57" t="str">
        <f ca="1">_xlfn.CONCAT( "  MOV CL, ", RANDBETWEEN(1, 3) )</f>
        <v xml:space="preserve">  MOV CL, 3</v>
      </c>
      <c r="D71" s="10"/>
    </row>
    <row r="72" spans="1:4" ht="17.100000000000001" customHeight="1" thickBot="1" x14ac:dyDescent="0.3">
      <c r="A72" s="7"/>
      <c r="B72" s="59">
        <v>15</v>
      </c>
      <c r="C72" s="57" t="str">
        <f ca="1">_xlfn.CONCAT("  ",C160," DX, CL")</f>
        <v xml:space="preserve">  ROR DX, CL</v>
      </c>
      <c r="D72" s="10"/>
    </row>
    <row r="73" spans="1:4" ht="17.100000000000001" customHeight="1" thickBot="1" x14ac:dyDescent="0.3">
      <c r="A73" s="7"/>
      <c r="B73" s="59">
        <v>16</v>
      </c>
      <c r="C73" s="57" t="s">
        <v>153</v>
      </c>
      <c r="D73" s="10"/>
    </row>
    <row r="74" spans="1:4" ht="17.100000000000001" customHeight="1" thickBot="1" x14ac:dyDescent="0.3">
      <c r="A74" s="7"/>
      <c r="B74" s="59">
        <v>17</v>
      </c>
      <c r="C74" s="57" t="s">
        <v>27</v>
      </c>
      <c r="D74" s="10"/>
    </row>
    <row r="75" spans="1:4" ht="17.100000000000001" customHeight="1" thickBot="1" x14ac:dyDescent="0.3">
      <c r="A75" s="7"/>
      <c r="B75" s="59">
        <v>18</v>
      </c>
      <c r="C75" s="57" t="s">
        <v>154</v>
      </c>
      <c r="D75" s="10"/>
    </row>
    <row r="76" spans="1:4" ht="17.100000000000001" customHeight="1" thickBot="1" x14ac:dyDescent="0.3">
      <c r="A76" s="7"/>
      <c r="B76" s="59">
        <v>19</v>
      </c>
      <c r="C76" s="57" t="s">
        <v>113</v>
      </c>
      <c r="D76" s="10"/>
    </row>
    <row r="77" spans="1:4" ht="17.100000000000001" customHeight="1" thickBot="1" x14ac:dyDescent="0.3">
      <c r="A77" s="7"/>
      <c r="B77" s="59"/>
      <c r="C77" s="57" t="s">
        <v>141</v>
      </c>
      <c r="D77" s="10"/>
    </row>
    <row r="78" spans="1:4" ht="17.100000000000001" customHeight="1" thickBot="1" x14ac:dyDescent="0.3">
      <c r="A78" s="7"/>
      <c r="B78" s="59">
        <v>20</v>
      </c>
      <c r="C78" s="57" t="s">
        <v>140</v>
      </c>
      <c r="D78" s="10"/>
    </row>
    <row r="79" spans="1:4" ht="17.100000000000001" customHeight="1" thickBot="1" x14ac:dyDescent="0.3">
      <c r="A79" s="7"/>
      <c r="B79" s="59">
        <v>21</v>
      </c>
      <c r="C79" s="57" t="s">
        <v>145</v>
      </c>
      <c r="D79" s="10"/>
    </row>
    <row r="80" spans="1:4" ht="17.100000000000001" customHeight="1" thickBot="1" x14ac:dyDescent="0.3">
      <c r="A80" s="7"/>
      <c r="B80" s="59">
        <v>22</v>
      </c>
      <c r="C80" s="57" t="s">
        <v>146</v>
      </c>
      <c r="D80" s="10"/>
    </row>
    <row r="81" spans="1:5" ht="17.100000000000001" customHeight="1" thickBot="1" x14ac:dyDescent="0.3">
      <c r="A81" s="7"/>
      <c r="B81" s="59"/>
      <c r="C81" s="57" t="s">
        <v>165</v>
      </c>
      <c r="D81" s="10"/>
    </row>
    <row r="82" spans="1:5" ht="17.100000000000001" customHeight="1" thickBot="1" x14ac:dyDescent="0.3">
      <c r="A82" s="7"/>
      <c r="B82" s="59">
        <v>23</v>
      </c>
      <c r="C82" s="57" t="s">
        <v>143</v>
      </c>
      <c r="D82" s="10"/>
    </row>
    <row r="83" spans="1:5" ht="17.100000000000001" customHeight="1" thickBot="1" x14ac:dyDescent="0.3">
      <c r="A83" s="7"/>
      <c r="B83" s="59"/>
      <c r="C83" s="57" t="str">
        <f ca="1">_xlfn.CONCAT("  MOV BX, ", (RANDBETWEEN(0, 3) * 4) )</f>
        <v xml:space="preserve">  MOV BX, 12</v>
      </c>
      <c r="D83" s="10"/>
    </row>
    <row r="84" spans="1:5" ht="17.100000000000001" customHeight="1" thickBot="1" x14ac:dyDescent="0.3">
      <c r="A84" s="7"/>
      <c r="B84" s="59"/>
      <c r="C84" s="57" t="s">
        <v>142</v>
      </c>
      <c r="D84" s="10"/>
    </row>
    <row r="85" spans="1:5" ht="17.100000000000001" customHeight="1" thickBot="1" x14ac:dyDescent="0.3">
      <c r="A85" s="7"/>
      <c r="B85" s="59"/>
      <c r="C85" s="57" t="str">
        <f ca="1">IF(E85="  MOV CX, WORD PTR ES:[DI + 0]", "  MOV CX, WORD PTR ES:[DI]", E85)</f>
        <v xml:space="preserve">  MOV CX, WORD PTR ES:[DI]</v>
      </c>
      <c r="D85" s="10"/>
      <c r="E85" t="str">
        <f ca="1">_xlfn.CONCAT("  MOV CX, WORD PTR ES:[DI + ", RANDBETWEEN(0, 3), "]")</f>
        <v xml:space="preserve">  MOV CX, WORD PTR ES:[DI + 0]</v>
      </c>
    </row>
    <row r="86" spans="1:5" ht="17.100000000000001" customHeight="1" thickBot="1" x14ac:dyDescent="0.3">
      <c r="A86" s="7"/>
      <c r="B86" s="59"/>
      <c r="C86" s="57" t="s">
        <v>164</v>
      </c>
      <c r="D86" s="10"/>
    </row>
    <row r="87" spans="1:5" ht="17.100000000000001" customHeight="1" thickBot="1" x14ac:dyDescent="0.3">
      <c r="A87" s="7"/>
      <c r="B87" s="59">
        <v>24</v>
      </c>
      <c r="C87" s="57" t="s">
        <v>144</v>
      </c>
      <c r="D87" s="10"/>
    </row>
    <row r="88" spans="1:5" ht="17.100000000000001" customHeight="1" thickBot="1" x14ac:dyDescent="0.3">
      <c r="A88" s="7"/>
      <c r="B88" s="59">
        <v>25</v>
      </c>
      <c r="C88" s="57" t="str">
        <f ca="1">_xlfn.CONCAT("  MOV BX, ", (RANDBETWEEN(0, 3) * 4) )</f>
        <v xml:space="preserve">  MOV BX, 8</v>
      </c>
      <c r="D88" s="10"/>
    </row>
    <row r="89" spans="1:5" ht="17.100000000000001" customHeight="1" thickBot="1" x14ac:dyDescent="0.3">
      <c r="A89" s="7"/>
      <c r="B89" s="59">
        <v>26</v>
      </c>
      <c r="C89" s="57" t="s">
        <v>142</v>
      </c>
      <c r="D89" s="10"/>
    </row>
    <row r="90" spans="1:5" ht="17.100000000000001" customHeight="1" thickBot="1" x14ac:dyDescent="0.3">
      <c r="A90" s="7"/>
      <c r="B90" s="59"/>
      <c r="C90" s="57" t="str">
        <f ca="1">IF(E90="  MOV CX, WORD PTR ES:[DI + 0]", "  MOV CX, WORD PTR ES:[DI]", E90)</f>
        <v xml:space="preserve">  MOV CX, WORD PTR ES:[DI + 3]</v>
      </c>
      <c r="D90" s="10"/>
      <c r="E90" t="str">
        <f ca="1">_xlfn.CONCAT("  MOV CX, WORD PTR ES:[DI + ", RANDBETWEEN(0, 3), "]")</f>
        <v xml:space="preserve">  MOV CX, WORD PTR ES:[DI + 3]</v>
      </c>
    </row>
    <row r="91" spans="1:5" ht="17.100000000000001" customHeight="1" thickBot="1" x14ac:dyDescent="0.3">
      <c r="A91" s="9"/>
      <c r="B91" s="61"/>
      <c r="C91" s="57" t="s">
        <v>167</v>
      </c>
      <c r="D91" s="10"/>
    </row>
    <row r="92" spans="1:5" ht="17.100000000000001" customHeight="1" thickBot="1" x14ac:dyDescent="0.3">
      <c r="A92" s="9"/>
      <c r="B92" s="61"/>
      <c r="C92" s="57" t="s">
        <v>156</v>
      </c>
      <c r="D92" s="10"/>
    </row>
    <row r="93" spans="1:5" ht="17.100000000000001" customHeight="1" thickBot="1" x14ac:dyDescent="0.3">
      <c r="A93" s="9"/>
      <c r="B93" s="61"/>
      <c r="C93" s="57" t="s">
        <v>157</v>
      </c>
      <c r="D93" s="10"/>
    </row>
    <row r="94" spans="1:5" ht="17.100000000000001" customHeight="1" thickBot="1" x14ac:dyDescent="0.3">
      <c r="A94" s="9"/>
      <c r="B94" s="61"/>
      <c r="C94" s="57" t="s">
        <v>168</v>
      </c>
      <c r="D94" s="10"/>
    </row>
    <row r="95" spans="1:5" ht="17.100000000000001" customHeight="1" thickBot="1" x14ac:dyDescent="0.3">
      <c r="A95" s="9"/>
      <c r="B95" s="61"/>
      <c r="C95" s="57" t="s">
        <v>158</v>
      </c>
      <c r="D95" s="10"/>
    </row>
    <row r="96" spans="1:5" ht="17.100000000000001" customHeight="1" thickBot="1" x14ac:dyDescent="0.3">
      <c r="A96" s="9"/>
      <c r="B96" s="61"/>
      <c r="C96" s="57" t="s">
        <v>159</v>
      </c>
      <c r="D96" s="10"/>
    </row>
    <row r="97" spans="1:6" ht="17.100000000000001" customHeight="1" thickBot="1" x14ac:dyDescent="0.3">
      <c r="A97" s="9"/>
      <c r="B97" s="61"/>
      <c r="C97" s="57" t="s">
        <v>180</v>
      </c>
      <c r="D97" s="10"/>
    </row>
    <row r="98" spans="1:6" ht="17.100000000000001" customHeight="1" thickBot="1" x14ac:dyDescent="0.3">
      <c r="A98" s="9"/>
      <c r="B98" s="61"/>
      <c r="C98" s="57" t="str">
        <f ca="1">_xlfn.CONCAT("  MOV BYTE PTR [BP + 1], ", E121)</f>
        <v xml:space="preserve">  MOV BYTE PTR [BP + 1], 0AFh</v>
      </c>
      <c r="D98" s="10"/>
    </row>
    <row r="99" spans="1:6" ht="17.100000000000001" customHeight="1" thickBot="1" x14ac:dyDescent="0.3">
      <c r="A99" s="9"/>
      <c r="B99" s="61"/>
      <c r="C99" s="57" t="str">
        <f ca="1">_xlfn.CONCAT("  MOV WORD PTR [BP - ", ODD( RANDBETWEEN(0, 3) ),"], ", E129)</f>
        <v xml:space="preserve">  MOV WORD PTR [BP - 1], 30C3h</v>
      </c>
      <c r="D99" s="10"/>
      <c r="F99">
        <f ca="1">ODD( RANDBETWEEN(0, 3) )</f>
        <v>3</v>
      </c>
    </row>
    <row r="100" spans="1:6" ht="17.100000000000001" customHeight="1" thickBot="1" x14ac:dyDescent="0.3">
      <c r="A100" s="9"/>
      <c r="B100" s="61"/>
      <c r="C100" s="57" t="str">
        <f ca="1">_xlfn.CONCAT(E100, E130)</f>
        <v xml:space="preserve">  MOV WORD PTR [BP - 2], 0BCD2h</v>
      </c>
      <c r="D100" s="10"/>
      <c r="E100" t="str" cm="1">
        <f t="array" aca="1" ref="E100" ca="1">_xlfn.IFS( F100 &lt; 0, _xlfn.CONCAT( "  MOV WORD PTR [BP - ", ABS(F100), "], " ), F100 = 0, "  MOV WORD PTR [BP], ", F100 &gt; 0, _xlfn.CONCAT( "  MOV WORD PTR [BP + ", F100, "], " ) )</f>
        <v xml:space="preserve">  MOV WORD PTR [BP - 2], </v>
      </c>
      <c r="F100">
        <f ca="1">RANDBETWEEN(-6, 2)</f>
        <v>-2</v>
      </c>
    </row>
    <row r="101" spans="1:6" ht="17.100000000000001" customHeight="1" thickBot="1" x14ac:dyDescent="0.3">
      <c r="A101" s="9"/>
      <c r="B101" s="61"/>
      <c r="C101" s="57" t="str">
        <f ca="1">_xlfn.CONCAT(E101, E122)</f>
        <v xml:space="preserve">  MOV BYTE PTR [BP - 7], 52h</v>
      </c>
      <c r="D101" s="10"/>
      <c r="E101" t="str" cm="1">
        <f t="array" aca="1" ref="E101" ca="1">_xlfn.IFS( F101 &lt; 0, _xlfn.CONCAT( "  MOV BYTE PTR [BP - ", ABS(F101), "], " ), F101 = 0, "  MOV BYTE PTR [BP], ", F101 &gt; 0, _xlfn.CONCAT( "  MOV BYTE PTR [BP + ", F101, "], " ) )</f>
        <v xml:space="preserve">  MOV BYTE PTR [BP - 7], </v>
      </c>
      <c r="F101">
        <f ca="1">RANDBETWEEN(-7, 3)</f>
        <v>-7</v>
      </c>
    </row>
    <row r="102" spans="1:6" ht="17.100000000000001" customHeight="1" thickBot="1" x14ac:dyDescent="0.3">
      <c r="A102" s="9"/>
      <c r="B102" s="61"/>
      <c r="C102" s="57" t="s">
        <v>160</v>
      </c>
      <c r="D102" s="10"/>
    </row>
    <row r="103" spans="1:6" ht="17.100000000000001" customHeight="1" thickBot="1" x14ac:dyDescent="0.3">
      <c r="A103" s="9"/>
      <c r="B103" s="61"/>
      <c r="C103" s="57" t="s">
        <v>181</v>
      </c>
      <c r="D103" s="10"/>
    </row>
    <row r="104" spans="1:6" ht="17.100000000000001" customHeight="1" thickBot="1" x14ac:dyDescent="0.3">
      <c r="A104" s="9"/>
      <c r="B104" s="61"/>
      <c r="C104" s="57" t="s">
        <v>169</v>
      </c>
      <c r="D104" s="10"/>
    </row>
    <row r="105" spans="1:6" ht="17.100000000000001" customHeight="1" thickBot="1" x14ac:dyDescent="0.3">
      <c r="A105" s="9"/>
      <c r="B105" s="61"/>
      <c r="C105" s="57" t="s">
        <v>170</v>
      </c>
      <c r="D105" s="10"/>
    </row>
    <row r="106" spans="1:6" ht="17.100000000000001" customHeight="1" thickBot="1" x14ac:dyDescent="0.3">
      <c r="A106" s="9"/>
      <c r="B106" s="61"/>
      <c r="C106" s="57" t="s">
        <v>36</v>
      </c>
      <c r="D106" s="10"/>
    </row>
    <row r="107" spans="1:6" ht="17.100000000000001" customHeight="1" thickBot="1" x14ac:dyDescent="0.3">
      <c r="A107" s="9"/>
      <c r="B107" s="61"/>
      <c r="C107" s="57" t="s">
        <v>35</v>
      </c>
      <c r="D107" s="10"/>
    </row>
    <row r="108" spans="1:6" ht="17.100000000000001" customHeight="1" thickBot="1" x14ac:dyDescent="0.3">
      <c r="A108" s="9"/>
      <c r="B108" s="101">
        <v>30</v>
      </c>
      <c r="C108" s="57" t="s">
        <v>46</v>
      </c>
      <c r="D108" s="10"/>
    </row>
    <row r="109" spans="1:6" ht="16.5" thickBot="1" x14ac:dyDescent="0.3">
      <c r="A109" s="9"/>
      <c r="B109" s="102"/>
      <c r="C109" s="57" t="s">
        <v>47</v>
      </c>
      <c r="D109" s="10"/>
    </row>
    <row r="110" spans="1:6" ht="16.5" thickBot="1" x14ac:dyDescent="0.3">
      <c r="A110" s="3"/>
      <c r="B110" s="103"/>
      <c r="C110" s="57" t="s">
        <v>48</v>
      </c>
      <c r="D110" s="10"/>
    </row>
    <row r="111" spans="1:6" ht="16.5" thickBot="1" x14ac:dyDescent="0.3">
      <c r="A111" s="1"/>
      <c r="B111" s="59"/>
      <c r="C111" s="57" t="s">
        <v>23</v>
      </c>
      <c r="D111" s="1"/>
    </row>
    <row r="112" spans="1:6" ht="9.9499999999999993" customHeight="1" x14ac:dyDescent="0.25">
      <c r="A112" s="1"/>
      <c r="B112" s="38"/>
      <c r="C112" s="6"/>
      <c r="D112" s="1"/>
    </row>
    <row r="113" spans="3:5" x14ac:dyDescent="0.25">
      <c r="C113" s="1"/>
    </row>
    <row r="114" spans="3:5" x14ac:dyDescent="0.25">
      <c r="C114" s="1"/>
    </row>
    <row r="115" spans="3:5" x14ac:dyDescent="0.25">
      <c r="C115" t="s">
        <v>62</v>
      </c>
      <c r="E115" t="s">
        <v>63</v>
      </c>
    </row>
    <row r="116" spans="3:5" x14ac:dyDescent="0.25">
      <c r="C116" s="39" t="s">
        <v>58</v>
      </c>
    </row>
    <row r="117" spans="3:5" x14ac:dyDescent="0.25">
      <c r="C117">
        <f ca="1">RANDBETWEEN(0,255)</f>
        <v>119</v>
      </c>
      <c r="E117" t="str">
        <f ca="1">_xlfn.CONCAT( _xlfn.IFS( C117 &lt; HEX2DEC("A"), DEC2HEX(C117, 1), C117 &lt; HEX2DEC("A0"), DEC2HEX(C117, 2), C117 &lt; HEX2DEC("A00"), DEC2HEX(C117, 3), C117 &lt; HEX2DEC("A000"), DEC2HEX(C117, 4), C117 &lt; HEX2DEC("A0000"), DEC2HEX(C117, 5), C117 &lt; HEX2DEC("A00000"), DEC2HEX(C117, 6), C117 &lt; HEX2DEC("A000000"), DEC2HEX(C117, 7), C117 &lt; HEX2DEC("A0000000"), DEC2HEX(C117, 8), TRUE, DEC2HEX(C117, 9) ), "h" )</f>
        <v>77h</v>
      </c>
    </row>
    <row r="118" spans="3:5" x14ac:dyDescent="0.25">
      <c r="C118" s="39" t="s">
        <v>103</v>
      </c>
    </row>
    <row r="119" spans="3:5" x14ac:dyDescent="0.25">
      <c r="C119">
        <f ca="1">RANDBETWEEN(1,255)</f>
        <v>106</v>
      </c>
      <c r="E119" t="str">
        <f ca="1">_xlfn.CONCAT( _xlfn.IFS( C119 &lt; HEX2DEC("A"), DEC2HEX(C119, 1), C119 &lt; HEX2DEC("A0"), DEC2HEX(C119, 2), C119 &lt; HEX2DEC("A00"), DEC2HEX(C119, 3), C119 &lt; HEX2DEC("A000"), DEC2HEX(C119, 4), C119 &lt; HEX2DEC("A0000"), DEC2HEX(C119, 5), C119 &lt; HEX2DEC("A00000"), DEC2HEX(C119, 6), C119 &lt; HEX2DEC("A000000"), DEC2HEX(C119, 7), C119 &lt; HEX2DEC("A0000000"), DEC2HEX(C119, 8), TRUE, DEC2HEX(C119, 9) ), "h" )</f>
        <v>6Ah</v>
      </c>
    </row>
    <row r="120" spans="3:5" x14ac:dyDescent="0.25">
      <c r="C120">
        <f ca="1">RANDBETWEEN(1,255)</f>
        <v>38</v>
      </c>
      <c r="E120" t="str">
        <f ca="1">_xlfn.CONCAT( _xlfn.IFS( C120 &lt; HEX2DEC("A"), DEC2HEX(C120, 1), C120 &lt; HEX2DEC("A0"), DEC2HEX(C120, 2), C120 &lt; HEX2DEC("A00"), DEC2HEX(C120, 3), C120 &lt; HEX2DEC("A000"), DEC2HEX(C120, 4), C120 &lt; HEX2DEC("A0000"), DEC2HEX(C120, 5), C120 &lt; HEX2DEC("A00000"), DEC2HEX(C120, 6), C120 &lt; HEX2DEC("A000000"), DEC2HEX(C120, 7), C120 &lt; HEX2DEC("A0000000"), DEC2HEX(C120, 8), TRUE, DEC2HEX(C120, 9) ), "h" )</f>
        <v>26h</v>
      </c>
    </row>
    <row r="121" spans="3:5" x14ac:dyDescent="0.25">
      <c r="C121">
        <f ca="1">RANDBETWEEN(1,255)</f>
        <v>175</v>
      </c>
      <c r="E121" t="str">
        <f ca="1">_xlfn.CONCAT( _xlfn.IFS( C121 &lt; HEX2DEC("A"), DEC2HEX(C121, 1), C121 &lt; HEX2DEC("A0"), DEC2HEX(C121, 2), C121 &lt; HEX2DEC("A00"), DEC2HEX(C121, 3), C121 &lt; HEX2DEC("A000"), DEC2HEX(C121, 4), C121 &lt; HEX2DEC("A0000"), DEC2HEX(C121, 5), C121 &lt; HEX2DEC("A00000"), DEC2HEX(C121, 6), C121 &lt; HEX2DEC("A000000"), DEC2HEX(C121, 7), C121 &lt; HEX2DEC("A0000000"), DEC2HEX(C121, 8), TRUE, DEC2HEX(C121, 9) ), "h" )</f>
        <v>0AFh</v>
      </c>
    </row>
    <row r="122" spans="3:5" x14ac:dyDescent="0.25">
      <c r="C122">
        <f ca="1">RANDBETWEEN(1,255)</f>
        <v>82</v>
      </c>
      <c r="E122" t="str">
        <f ca="1">_xlfn.CONCAT( _xlfn.IFS( C122 &lt; HEX2DEC("A"), DEC2HEX(C122, 1), C122 &lt; HEX2DEC("A0"), DEC2HEX(C122, 2), C122 &lt; HEX2DEC("A00"), DEC2HEX(C122, 3), C122 &lt; HEX2DEC("A000"), DEC2HEX(C122, 4), C122 &lt; HEX2DEC("A0000"), DEC2HEX(C122, 5), C122 &lt; HEX2DEC("A00000"), DEC2HEX(C122, 6), C122 &lt; HEX2DEC("A000000"), DEC2HEX(C122, 7), C122 &lt; HEX2DEC("A0000000"), DEC2HEX(C122, 8), TRUE, DEC2HEX(C122, 9) ), "h" )</f>
        <v>52h</v>
      </c>
    </row>
    <row r="123" spans="3:5" x14ac:dyDescent="0.25">
      <c r="C123" s="39" t="s">
        <v>59</v>
      </c>
    </row>
    <row r="124" spans="3:5" x14ac:dyDescent="0.25">
      <c r="C124">
        <f ca="1">RANDBETWEEN(0, 65535)</f>
        <v>2744</v>
      </c>
      <c r="E124" t="str">
        <f ca="1">_xlfn.CONCAT( _xlfn.IFS( C124 &lt; HEX2DEC("A"), DEC2HEX(C124, 1), C124 &lt; HEX2DEC("A0"), DEC2HEX(C124, 2), C124 &lt; HEX2DEC("A00"), DEC2HEX(C124, 3), C124 &lt; HEX2DEC("A000"), DEC2HEX(C124, 4), C124 &lt; HEX2DEC("A0000"), DEC2HEX(C124, 5), C124 &lt; HEX2DEC("A00000"), DEC2HEX(C124, 6), C124 &lt; HEX2DEC("A000000"), DEC2HEX(C124, 7), C124 &lt; HEX2DEC("A0000000"), DEC2HEX(C124, 8), TRUE, DEC2HEX(C124, 9) ), "h" )</f>
        <v>0AB8h</v>
      </c>
    </row>
    <row r="125" spans="3:5" x14ac:dyDescent="0.25">
      <c r="C125">
        <f ca="1">RANDBETWEEN(0, 65535)</f>
        <v>37622</v>
      </c>
      <c r="E125" t="str">
        <f ca="1">_xlfn.CONCAT( _xlfn.IFS( C125 &lt; HEX2DEC("A"), DEC2HEX(C125, 1), C125 &lt; HEX2DEC("A0"), DEC2HEX(C125, 2), C125 &lt; HEX2DEC("A00"), DEC2HEX(C125, 3), C125 &lt; HEX2DEC("A000"), DEC2HEX(C125, 4), C125 &lt; HEX2DEC("A0000"), DEC2HEX(C125, 5), C125 &lt; HEX2DEC("A00000"), DEC2HEX(C125, 6), C125 &lt; HEX2DEC("A000000"), DEC2HEX(C125, 7), C125 &lt; HEX2DEC("A0000000"), DEC2HEX(C125, 8), TRUE, DEC2HEX(C125, 9) ), "h" )</f>
        <v>92F6h</v>
      </c>
    </row>
    <row r="126" spans="3:5" x14ac:dyDescent="0.25">
      <c r="C126" s="39" t="s">
        <v>60</v>
      </c>
    </row>
    <row r="127" spans="3:5" x14ac:dyDescent="0.25">
      <c r="C127">
        <f ca="1">RANDBETWEEN(256, 65535)</f>
        <v>31161</v>
      </c>
      <c r="E127" t="str">
        <f ca="1">_xlfn.CONCAT( _xlfn.IFS( C127 &lt; HEX2DEC("A"), DEC2HEX(C127, 1), C127 &lt; HEX2DEC("A0"), DEC2HEX(C127, 2), C127 &lt; HEX2DEC("A00"), DEC2HEX(C127, 3), C127 &lt; HEX2DEC("A000"), DEC2HEX(C127, 4), C127 &lt; HEX2DEC("A0000"), DEC2HEX(C127, 5), C127 &lt; HEX2DEC("A00000"), DEC2HEX(C127, 6), C127 &lt; HEX2DEC("A000000"), DEC2HEX(C127, 7), C127 &lt; HEX2DEC("A0000000"), DEC2HEX(C127, 8), TRUE, DEC2HEX(C127, 9) ), "h" )</f>
        <v>79B9h</v>
      </c>
    </row>
    <row r="128" spans="3:5" x14ac:dyDescent="0.25">
      <c r="C128">
        <f ca="1">RANDBETWEEN(256, 65535)</f>
        <v>7618</v>
      </c>
      <c r="E128" t="str">
        <f ca="1">_xlfn.CONCAT( _xlfn.IFS( C128 &lt; HEX2DEC("A"), DEC2HEX(C128, 1), C128 &lt; HEX2DEC("A0"), DEC2HEX(C128, 2), C128 &lt; HEX2DEC("A00"), DEC2HEX(C128, 3), C128 &lt; HEX2DEC("A000"), DEC2HEX(C128, 4), C128 &lt; HEX2DEC("A0000"), DEC2HEX(C128, 5), C128 &lt; HEX2DEC("A00000"), DEC2HEX(C128, 6), C128 &lt; HEX2DEC("A000000"), DEC2HEX(C128, 7), C128 &lt; HEX2DEC("A0000000"), DEC2HEX(C128, 8), TRUE, DEC2HEX(C128, 9) ), "h" )</f>
        <v>1DC2h</v>
      </c>
    </row>
    <row r="129" spans="3:5" x14ac:dyDescent="0.25">
      <c r="C129">
        <f ca="1">RANDBETWEEN(256, 65535)</f>
        <v>12483</v>
      </c>
      <c r="E129" t="str">
        <f ca="1">_xlfn.CONCAT( _xlfn.IFS( C129 &lt; HEX2DEC("A"), DEC2HEX(C129, 1), C129 &lt; HEX2DEC("A0"), DEC2HEX(C129, 2), C129 &lt; HEX2DEC("A00"), DEC2HEX(C129, 3), C129 &lt; HEX2DEC("A000"), DEC2HEX(C129, 4), C129 &lt; HEX2DEC("A0000"), DEC2HEX(C129, 5), C129 &lt; HEX2DEC("A00000"), DEC2HEX(C129, 6), C129 &lt; HEX2DEC("A000000"), DEC2HEX(C129, 7), C129 &lt; HEX2DEC("A0000000"), DEC2HEX(C129, 8), TRUE, DEC2HEX(C129, 9) ), "h" )</f>
        <v>30C3h</v>
      </c>
    </row>
    <row r="130" spans="3:5" x14ac:dyDescent="0.25">
      <c r="C130">
        <f ca="1">RANDBETWEEN(256, 65535)</f>
        <v>48338</v>
      </c>
      <c r="E130" t="str">
        <f ca="1">_xlfn.CONCAT( _xlfn.IFS( C130 &lt; HEX2DEC("A"), DEC2HEX(C130, 1), C130 &lt; HEX2DEC("A0"), DEC2HEX(C130, 2), C130 &lt; HEX2DEC("A00"), DEC2HEX(C130, 3), C130 &lt; HEX2DEC("A000"), DEC2HEX(C130, 4), C130 &lt; HEX2DEC("A0000"), DEC2HEX(C130, 5), C130 &lt; HEX2DEC("A00000"), DEC2HEX(C130, 6), C130 &lt; HEX2DEC("A000000"), DEC2HEX(C130, 7), C130 &lt; HEX2DEC("A0000000"), DEC2HEX(C130, 8), TRUE, DEC2HEX(C130, 9) ), "h" )</f>
        <v>0BCD2h</v>
      </c>
    </row>
    <row r="131" spans="3:5" x14ac:dyDescent="0.25">
      <c r="C131" s="39" t="s">
        <v>68</v>
      </c>
    </row>
    <row r="132" spans="3:5" x14ac:dyDescent="0.25">
      <c r="C132">
        <f ca="1">RANDBETWEEN(HEX2DEC("1000"), 65535)</f>
        <v>40520</v>
      </c>
      <c r="E132" t="str">
        <f ca="1">_xlfn.CONCAT( _xlfn.IFS( C132 &lt; HEX2DEC("A"), DEC2HEX(C132, 1), C132 &lt; HEX2DEC("A0"), DEC2HEX(C132, 2), C132 &lt; HEX2DEC("A00"), DEC2HEX(C132, 3), C132 &lt; HEX2DEC("A000"), DEC2HEX(C132, 4), C132 &lt; HEX2DEC("A0000"), DEC2HEX(C132, 5), C132 &lt; HEX2DEC("A00000"), DEC2HEX(C132, 6), C132 &lt; HEX2DEC("A000000"), DEC2HEX(C132, 7), C132 &lt; HEX2DEC("A0000000"), DEC2HEX(C132, 8), TRUE, DEC2HEX(C132, 9) ), "h" )</f>
        <v>9E48h</v>
      </c>
    </row>
    <row r="133" spans="3:5" x14ac:dyDescent="0.25">
      <c r="C133" s="39" t="s">
        <v>61</v>
      </c>
    </row>
    <row r="134" spans="3:5" x14ac:dyDescent="0.25">
      <c r="C134">
        <f ca="1">RANDBETWEEN(65536, 4294967295)</f>
        <v>3557655702</v>
      </c>
      <c r="E134" t="str">
        <f ca="1">_xlfn.CONCAT( _xlfn.IFS( C134 &lt; HEX2DEC("A"), DEC2HEX(C134, 1), C134 &lt; HEX2DEC("A0"), DEC2HEX(C134, 2), C134 &lt; HEX2DEC("A00"), DEC2HEX(C134, 3), C134 &lt; HEX2DEC("A000"), DEC2HEX(C134, 4), C134 &lt; HEX2DEC("A0000"), DEC2HEX(C134, 5), C134 &lt; HEX2DEC("A00000"), DEC2HEX(C134, 6), C134 &lt; HEX2DEC("A000000"), DEC2HEX(C134, 7), C134 &lt; HEX2DEC("A0000000"), DEC2HEX(C134, 8), TRUE, DEC2HEX(C134, 9) ), "h" )</f>
        <v>0D40D8496h</v>
      </c>
    </row>
    <row r="135" spans="3:5" x14ac:dyDescent="0.25">
      <c r="C135" t="s">
        <v>64</v>
      </c>
    </row>
    <row r="136" spans="3:5" x14ac:dyDescent="0.25">
      <c r="C136">
        <f ca="1">EVEN(RANDBETWEEN(100, 2048))</f>
        <v>562</v>
      </c>
      <c r="E136" t="str">
        <f ca="1">_xlfn.CONCAT( _xlfn.IFS( C136 &lt; HEX2DEC("A"), DEC2HEX(C136, 1), C136 &lt; HEX2DEC("A0"), DEC2HEX(C136, 2), C136 &lt; HEX2DEC("A00"), DEC2HEX(C136, 3), C136 &lt; HEX2DEC("A000"), DEC2HEX(C136, 4), C136 &lt; HEX2DEC("A0000"), DEC2HEX(C136, 5), C136 &lt; HEX2DEC("A00000"), DEC2HEX(C136, 6), C136 &lt; HEX2DEC("A000000"), DEC2HEX(C136, 7), C136 &lt; HEX2DEC("A0000000"), DEC2HEX(C136, 8), TRUE, DEC2HEX(C136, 9) ), "h" )</f>
        <v>232h</v>
      </c>
    </row>
    <row r="137" spans="3:5" x14ac:dyDescent="0.25">
      <c r="C137" t="s">
        <v>65</v>
      </c>
    </row>
    <row r="138" spans="3:5" x14ac:dyDescent="0.25">
      <c r="C138">
        <f ca="1">ROUNDDOWN(C136/100, 1) * 100</f>
        <v>560</v>
      </c>
    </row>
    <row r="140" spans="3:5" x14ac:dyDescent="0.25">
      <c r="C140" t="s">
        <v>88</v>
      </c>
    </row>
    <row r="141" spans="3:5" x14ac:dyDescent="0.25">
      <c r="C141" s="53" t="str">
        <f>_xlfn.CONCAT( (HEX2BIN("AA")), (HEX2BIN("AA")), "b" )</f>
        <v>1010101010101010b</v>
      </c>
    </row>
    <row r="142" spans="3:5" x14ac:dyDescent="0.25">
      <c r="C142" t="str">
        <f>_xlfn.CONCAT( (HEX2BIN("FF")), (HEX2BIN("AA")), "b" )</f>
        <v>1111111110101010b</v>
      </c>
    </row>
    <row r="143" spans="3:5" x14ac:dyDescent="0.25">
      <c r="C143" t="str">
        <f>_xlfn.CONCAT( (HEX2BIN("CC")), (HEX2BIN("FF")), "b" )</f>
        <v>1100110011111111b</v>
      </c>
    </row>
    <row r="144" spans="3:5" x14ac:dyDescent="0.25">
      <c r="C144" t="str">
        <f>_xlfn.CONCAT( (HEX2BIN("55", 8)), (HEX2BIN("55", 8)), "b" )</f>
        <v>0101010101010101b</v>
      </c>
    </row>
    <row r="145" spans="3:3" x14ac:dyDescent="0.25">
      <c r="C145" t="str">
        <f>_xlfn.CONCAT( (HEX2BIN("66", 8)), (HEX2BIN("66", 8)), "b" )</f>
        <v>0110011001100110b</v>
      </c>
    </row>
    <row r="146" spans="3:3" x14ac:dyDescent="0.25">
      <c r="C146" t="str">
        <f>_xlfn.CONCAT( (HEX2BIN("99", 8)), (HEX2BIN("99", 8)), "b" )</f>
        <v>1001100110011001b</v>
      </c>
    </row>
    <row r="147" spans="3:3" x14ac:dyDescent="0.25">
      <c r="C147" t="str">
        <f>_xlfn.CONCAT( (HEX2BIN("F3", 8)), (HEX2BIN("F3", 8)), "b" )</f>
        <v>1111001111110011b</v>
      </c>
    </row>
    <row r="148" spans="3:3" x14ac:dyDescent="0.25">
      <c r="C148" t="str">
        <f>_xlfn.CONCAT( (HEX2BIN("FC", 8)), (HEX2BIN("FC", 8)), "b" )</f>
        <v>1111110011111100b</v>
      </c>
    </row>
    <row r="150" spans="3:3" x14ac:dyDescent="0.25">
      <c r="C150" t="s">
        <v>133</v>
      </c>
    </row>
    <row r="151" spans="3:3" x14ac:dyDescent="0.25">
      <c r="C151" t="str" cm="1">
        <f t="array" aca="1" ref="C151" ca="1">INDEX($C$141:$C$148,RANDBETWEEN(1,COUNTA($C$141:$C$148)), 1)</f>
        <v>1100110011111111b</v>
      </c>
    </row>
    <row r="153" spans="3:3" x14ac:dyDescent="0.25">
      <c r="C153" t="s">
        <v>135</v>
      </c>
    </row>
    <row r="154" spans="3:3" x14ac:dyDescent="0.25">
      <c r="C154" t="s">
        <v>105</v>
      </c>
    </row>
    <row r="155" spans="3:3" x14ac:dyDescent="0.25">
      <c r="C155" t="s">
        <v>106</v>
      </c>
    </row>
    <row r="156" spans="3:3" x14ac:dyDescent="0.25">
      <c r="C156" t="s">
        <v>107</v>
      </c>
    </row>
    <row r="157" spans="3:3" x14ac:dyDescent="0.25">
      <c r="C157" t="s">
        <v>108</v>
      </c>
    </row>
    <row r="159" spans="3:3" x14ac:dyDescent="0.25">
      <c r="C159" t="s">
        <v>134</v>
      </c>
    </row>
    <row r="160" spans="3:3" x14ac:dyDescent="0.25">
      <c r="C160" t="str" cm="1">
        <f t="array" aca="1" ref="C160" ca="1">INDEX($C$154:$C$157, RANDBETWEEN(1, COUNTA($C$154:$C$157)), 1)</f>
        <v>ROR</v>
      </c>
    </row>
    <row r="162" spans="3:3" x14ac:dyDescent="0.25">
      <c r="C162" t="s">
        <v>110</v>
      </c>
    </row>
    <row r="163" spans="3:3" x14ac:dyDescent="0.25">
      <c r="C163" t="s">
        <v>111</v>
      </c>
    </row>
    <row r="165" spans="3:3" x14ac:dyDescent="0.25">
      <c r="C165" t="s">
        <v>136</v>
      </c>
    </row>
    <row r="166" spans="3:3" x14ac:dyDescent="0.25">
      <c r="C166" t="s">
        <v>137</v>
      </c>
    </row>
    <row r="167" spans="3:3" x14ac:dyDescent="0.25">
      <c r="C167" t="s">
        <v>138</v>
      </c>
    </row>
    <row r="169" spans="3:3" x14ac:dyDescent="0.25">
      <c r="C169" t="s">
        <v>139</v>
      </c>
    </row>
    <row r="170" spans="3:3" x14ac:dyDescent="0.25">
      <c r="C170" t="str" cm="1">
        <f t="array" aca="1" ref="C170" ca="1">INDEX($C$166:$C$167, RANDBETWEEN(1, COUNTA($C$166:$C$167)), 1)</f>
        <v>near</v>
      </c>
    </row>
    <row r="171" spans="3:3" x14ac:dyDescent="0.25">
      <c r="C171" t="str" cm="1">
        <f t="array" aca="1" ref="C171" ca="1">INDEX($C$166:$C$167, RANDBETWEEN(1, COUNTA($C$166:$C$167)), 1)</f>
        <v>near</v>
      </c>
    </row>
  </sheetData>
  <mergeCells count="3">
    <mergeCell ref="B16:B21"/>
    <mergeCell ref="B57:B59"/>
    <mergeCell ref="B108:B110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PasteBin</vt:lpstr>
      <vt:lpstr>Code Generator</vt:lpstr>
      <vt:lpstr>Test Subject Generator</vt:lpstr>
      <vt:lpstr>BackEnd</vt:lpstr>
      <vt:lpstr>Sheet2 (14)</vt:lpstr>
      <vt:lpstr>Sheet2 (13)</vt:lpstr>
      <vt:lpstr>Sheet2 (12)</vt:lpstr>
      <vt:lpstr>Sheet2 (11)</vt:lpstr>
      <vt:lpstr>Sheet2 (10)</vt:lpstr>
      <vt:lpstr>Sheet2 (8)</vt:lpstr>
      <vt:lpstr>Sheet1</vt:lpstr>
      <vt:lpstr>Sheet2</vt:lpstr>
      <vt:lpstr>Sheet2 (2)</vt:lpstr>
      <vt:lpstr>Sheet2 (3)</vt:lpstr>
      <vt:lpstr>Sheet2 (4)</vt:lpstr>
      <vt:lpstr>Sheet2 (5)</vt:lpstr>
      <vt:lpstr>Sheet2 (6)</vt:lpstr>
      <vt:lpstr>Sheet2 (7)</vt:lpstr>
      <vt:lpstr>Sheet2 (9)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Matei</dc:creator>
  <cp:lastModifiedBy>Alex Matei</cp:lastModifiedBy>
  <dcterms:created xsi:type="dcterms:W3CDTF">2021-01-18T10:26:49Z</dcterms:created>
  <dcterms:modified xsi:type="dcterms:W3CDTF">2021-01-23T05:04:49Z</dcterms:modified>
</cp:coreProperties>
</file>