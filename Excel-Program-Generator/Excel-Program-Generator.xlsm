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109aac67f9efab/Programare în Limbaj de Asamblare/"/>
    </mc:Choice>
  </mc:AlternateContent>
  <xr:revisionPtr revIDLastSave="21655" documentId="109_{E1F0B64C-80DE-4946-BCB8-8405C48D8E2D}" xr6:coauthVersionLast="46" xr6:coauthVersionMax="46" xr10:uidLastSave="{91C8340D-D0AD-4DE4-B4DB-D4C4E8B7730A}"/>
  <bookViews>
    <workbookView xWindow="-120" yWindow="-120" windowWidth="29040" windowHeight="16440" xr2:uid="{8BB2A35B-5B27-41CC-8776-168F86BB9C74}"/>
  </bookViews>
  <sheets>
    <sheet name="Sheet3" sheetId="17" r:id="rId1"/>
    <sheet name="Sheet2 (14)" sheetId="16" r:id="rId2"/>
    <sheet name="Sheet2 (13)" sheetId="15" r:id="rId3"/>
    <sheet name="Sheet2 (12)" sheetId="14" r:id="rId4"/>
    <sheet name="Sheet2 (11)" sheetId="13" r:id="rId5"/>
    <sheet name="Sheet2 (10)" sheetId="12" r:id="rId6"/>
    <sheet name="Sheet2 (8)" sheetId="10" r:id="rId7"/>
    <sheet name="Sheet1" sheetId="1" r:id="rId8"/>
    <sheet name="Sheet2" sheetId="2" r:id="rId9"/>
    <sheet name="Sheet2 (2)" sheetId="4" r:id="rId10"/>
    <sheet name="Sheet2 (3)" sheetId="5" r:id="rId11"/>
    <sheet name="Sheet2 (4)" sheetId="6" r:id="rId12"/>
    <sheet name="Sheet2 (5)" sheetId="7" r:id="rId13"/>
    <sheet name="Sheet2 (6)" sheetId="8" r:id="rId14"/>
    <sheet name="Sheet2 (7)" sheetId="9" r:id="rId15"/>
    <sheet name="Sheet2 (9)" sheetId="11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1" i="17" l="1"/>
  <c r="E29" i="17" s="1" a="1"/>
  <c r="E29" i="17" s="1"/>
  <c r="C89" i="17"/>
  <c r="C84" i="17"/>
  <c r="C72" i="17"/>
  <c r="C69" i="17"/>
  <c r="C68" i="17"/>
  <c r="C173" i="17" a="1"/>
  <c r="C173" i="17" s="1"/>
  <c r="C52" i="17" s="1"/>
  <c r="C172" i="17" a="1"/>
  <c r="C172" i="17" s="1"/>
  <c r="C30" i="17" s="1"/>
  <c r="C162" i="17" a="1"/>
  <c r="C162" i="17" s="1"/>
  <c r="C73" i="17" s="1"/>
  <c r="C150" i="17"/>
  <c r="C149" i="17"/>
  <c r="C148" i="17"/>
  <c r="C147" i="17"/>
  <c r="C146" i="17"/>
  <c r="C145" i="17"/>
  <c r="C144" i="17"/>
  <c r="C143" i="17"/>
  <c r="C153" i="17" s="1" a="1"/>
  <c r="C153" i="17" s="1"/>
  <c r="C11" i="17" s="1"/>
  <c r="C138" i="17"/>
  <c r="C140" i="17" s="1"/>
  <c r="C14" i="17" s="1"/>
  <c r="C136" i="17"/>
  <c r="E136" i="17" s="1"/>
  <c r="E19" i="17" s="1"/>
  <c r="C135" i="17"/>
  <c r="E135" i="17" s="1"/>
  <c r="E21" i="17" s="1"/>
  <c r="C21" i="17" s="1"/>
  <c r="C133" i="17"/>
  <c r="E133" i="17" s="1"/>
  <c r="C63" i="17" s="1"/>
  <c r="C131" i="17"/>
  <c r="E131" i="17" s="1"/>
  <c r="C130" i="17"/>
  <c r="E130" i="17" s="1"/>
  <c r="C129" i="17"/>
  <c r="E129" i="17" s="1"/>
  <c r="E20" i="17" s="1"/>
  <c r="C128" i="17"/>
  <c r="E128" i="17" s="1"/>
  <c r="E16" i="17" s="1"/>
  <c r="C126" i="17"/>
  <c r="E126" i="17" s="1"/>
  <c r="C125" i="17"/>
  <c r="E125" i="17" s="1"/>
  <c r="C123" i="17"/>
  <c r="E123" i="17" s="1"/>
  <c r="C122" i="17"/>
  <c r="E122" i="17" s="1"/>
  <c r="C99" i="17" s="1"/>
  <c r="C121" i="17"/>
  <c r="E121" i="17" s="1"/>
  <c r="E18" i="17" s="1"/>
  <c r="C120" i="17"/>
  <c r="E120" i="17" s="1"/>
  <c r="C118" i="17"/>
  <c r="E118" i="17" s="1"/>
  <c r="E99" i="17"/>
  <c r="E91" i="17"/>
  <c r="C91" i="17" s="1"/>
  <c r="E86" i="17"/>
  <c r="C86" i="17" s="1"/>
  <c r="C173" i="16" a="1"/>
  <c r="C173" i="16" s="1"/>
  <c r="C52" i="16" s="1"/>
  <c r="C172" i="16" a="1"/>
  <c r="C172" i="16" s="1"/>
  <c r="C162" i="16" a="1"/>
  <c r="C162" i="16" s="1"/>
  <c r="C73" i="16" s="1"/>
  <c r="C150" i="16"/>
  <c r="C149" i="16"/>
  <c r="C148" i="16"/>
  <c r="C147" i="16"/>
  <c r="C146" i="16"/>
  <c r="C145" i="16"/>
  <c r="C144" i="16"/>
  <c r="C143" i="16"/>
  <c r="C153" i="16" s="1" a="1"/>
  <c r="C153" i="16" s="1"/>
  <c r="C11" i="16" s="1"/>
  <c r="C138" i="16"/>
  <c r="C140" i="16" s="1"/>
  <c r="C14" i="16" s="1"/>
  <c r="C136" i="16"/>
  <c r="E136" i="16" s="1"/>
  <c r="E19" i="16" s="1"/>
  <c r="C135" i="16"/>
  <c r="E135" i="16" s="1"/>
  <c r="E21" i="16" s="1"/>
  <c r="C21" i="16" s="1"/>
  <c r="C133" i="16"/>
  <c r="E133" i="16" s="1"/>
  <c r="C63" i="16" s="1"/>
  <c r="C131" i="16"/>
  <c r="E131" i="16" s="1"/>
  <c r="C130" i="16"/>
  <c r="E130" i="16" s="1"/>
  <c r="C129" i="16"/>
  <c r="E129" i="16" s="1"/>
  <c r="E20" i="16" s="1"/>
  <c r="C128" i="16"/>
  <c r="E128" i="16" s="1"/>
  <c r="E18" i="16" s="1"/>
  <c r="C126" i="16"/>
  <c r="E126" i="16" s="1"/>
  <c r="C125" i="16"/>
  <c r="E125" i="16" s="1"/>
  <c r="C123" i="16"/>
  <c r="E123" i="16" s="1"/>
  <c r="C122" i="16"/>
  <c r="E122" i="16" s="1"/>
  <c r="C121" i="16"/>
  <c r="E121" i="16" s="1"/>
  <c r="E17" i="16" s="1"/>
  <c r="C120" i="16"/>
  <c r="E120" i="16" s="1"/>
  <c r="E16" i="16" s="1"/>
  <c r="C118" i="16"/>
  <c r="E118" i="16" s="1"/>
  <c r="E99" i="16"/>
  <c r="E91" i="16"/>
  <c r="C91" i="16" s="1"/>
  <c r="C89" i="16"/>
  <c r="E86" i="16"/>
  <c r="C86" i="16" s="1"/>
  <c r="C84" i="16"/>
  <c r="C72" i="16"/>
  <c r="C69" i="16"/>
  <c r="C68" i="16"/>
  <c r="C173" i="15" a="1"/>
  <c r="C173" i="15" s="1"/>
  <c r="C52" i="15" s="1"/>
  <c r="C172" i="15" a="1"/>
  <c r="C172" i="15" s="1"/>
  <c r="C162" i="15" a="1"/>
  <c r="C162" i="15" s="1"/>
  <c r="C73" i="15" s="1"/>
  <c r="C150" i="15"/>
  <c r="C149" i="15"/>
  <c r="C148" i="15"/>
  <c r="C147" i="15"/>
  <c r="C146" i="15"/>
  <c r="C145" i="15"/>
  <c r="C144" i="15"/>
  <c r="C143" i="15"/>
  <c r="C153" i="15" s="1" a="1"/>
  <c r="C153" i="15" s="1"/>
  <c r="C11" i="15" s="1"/>
  <c r="C138" i="15"/>
  <c r="C140" i="15" s="1"/>
  <c r="C14" i="15" s="1"/>
  <c r="C136" i="15"/>
  <c r="E136" i="15" s="1"/>
  <c r="C135" i="15"/>
  <c r="E135" i="15" s="1"/>
  <c r="E21" i="15" s="1"/>
  <c r="C21" i="15" s="1"/>
  <c r="C133" i="15"/>
  <c r="E133" i="15" s="1"/>
  <c r="C63" i="15" s="1"/>
  <c r="C131" i="15"/>
  <c r="E131" i="15" s="1"/>
  <c r="C130" i="15"/>
  <c r="E130" i="15" s="1"/>
  <c r="C129" i="15"/>
  <c r="E129" i="15" s="1"/>
  <c r="E19" i="15" s="1"/>
  <c r="C128" i="15"/>
  <c r="E128" i="15" s="1"/>
  <c r="E17" i="15" s="1"/>
  <c r="C126" i="15"/>
  <c r="E126" i="15" s="1"/>
  <c r="C125" i="15"/>
  <c r="E125" i="15" s="1"/>
  <c r="C123" i="15"/>
  <c r="E123" i="15" s="1"/>
  <c r="C122" i="15"/>
  <c r="E122" i="15" s="1"/>
  <c r="C121" i="15"/>
  <c r="E121" i="15" s="1"/>
  <c r="E18" i="15" s="1"/>
  <c r="C120" i="15"/>
  <c r="E120" i="15" s="1"/>
  <c r="E20" i="15" s="1"/>
  <c r="C118" i="15"/>
  <c r="E118" i="15" s="1"/>
  <c r="E99" i="15"/>
  <c r="E91" i="15"/>
  <c r="C91" i="15" s="1"/>
  <c r="C89" i="15"/>
  <c r="E86" i="15"/>
  <c r="C86" i="15" s="1"/>
  <c r="C84" i="15"/>
  <c r="C72" i="15"/>
  <c r="C69" i="15"/>
  <c r="C68" i="15"/>
  <c r="C68" i="14"/>
  <c r="C69" i="14"/>
  <c r="C136" i="14"/>
  <c r="E136" i="14" s="1"/>
  <c r="E20" i="14" s="1"/>
  <c r="C173" i="14" a="1"/>
  <c r="C173" i="14" s="1"/>
  <c r="C52" i="14" s="1"/>
  <c r="C172" i="14" a="1"/>
  <c r="C172" i="14" s="1"/>
  <c r="C162" i="14" a="1"/>
  <c r="C162" i="14" s="1"/>
  <c r="C73" i="14" s="1"/>
  <c r="C150" i="14"/>
  <c r="C149" i="14"/>
  <c r="C148" i="14"/>
  <c r="C147" i="14"/>
  <c r="C146" i="14"/>
  <c r="C145" i="14"/>
  <c r="C144" i="14"/>
  <c r="C143" i="14"/>
  <c r="C153" i="14" s="1" a="1"/>
  <c r="C153" i="14" s="1"/>
  <c r="C11" i="14" s="1"/>
  <c r="C138" i="14"/>
  <c r="C140" i="14" s="1"/>
  <c r="C14" i="14" s="1"/>
  <c r="C135" i="14"/>
  <c r="E135" i="14" s="1"/>
  <c r="C133" i="14"/>
  <c r="E133" i="14" s="1"/>
  <c r="C63" i="14" s="1"/>
  <c r="C131" i="14"/>
  <c r="E131" i="14" s="1"/>
  <c r="C130" i="14"/>
  <c r="E130" i="14" s="1"/>
  <c r="C129" i="14"/>
  <c r="E129" i="14" s="1"/>
  <c r="E19" i="14" s="1"/>
  <c r="C128" i="14"/>
  <c r="E128" i="14" s="1"/>
  <c r="C126" i="14"/>
  <c r="E126" i="14" s="1"/>
  <c r="C125" i="14"/>
  <c r="E125" i="14" s="1"/>
  <c r="C123" i="14"/>
  <c r="E123" i="14" s="1"/>
  <c r="C122" i="14"/>
  <c r="E122" i="14" s="1"/>
  <c r="C121" i="14"/>
  <c r="E121" i="14" s="1"/>
  <c r="E18" i="14" s="1"/>
  <c r="C120" i="14"/>
  <c r="E120" i="14" s="1"/>
  <c r="E16" i="14" s="1"/>
  <c r="C118" i="14"/>
  <c r="E118" i="14" s="1"/>
  <c r="E99" i="14"/>
  <c r="E91" i="14"/>
  <c r="C91" i="14" s="1"/>
  <c r="C89" i="14"/>
  <c r="E86" i="14"/>
  <c r="C86" i="14" s="1"/>
  <c r="C84" i="14"/>
  <c r="C72" i="14"/>
  <c r="C171" i="13" a="1"/>
  <c r="C171" i="13" s="1"/>
  <c r="C51" i="13" s="1"/>
  <c r="C170" i="13" a="1"/>
  <c r="C170" i="13" s="1"/>
  <c r="C160" i="13" a="1"/>
  <c r="C160" i="13" s="1"/>
  <c r="C72" i="13" s="1"/>
  <c r="C148" i="13"/>
  <c r="C147" i="13"/>
  <c r="C146" i="13"/>
  <c r="C145" i="13"/>
  <c r="C144" i="13"/>
  <c r="C143" i="13"/>
  <c r="C142" i="13"/>
  <c r="C141" i="13"/>
  <c r="C151" i="13" s="1" a="1"/>
  <c r="C151" i="13" s="1"/>
  <c r="C11" i="13" s="1"/>
  <c r="C136" i="13"/>
  <c r="C138" i="13" s="1"/>
  <c r="C14" i="13" s="1"/>
  <c r="C134" i="13"/>
  <c r="E134" i="13" s="1"/>
  <c r="E20" i="13" s="1"/>
  <c r="C132" i="13"/>
  <c r="E132" i="13" s="1"/>
  <c r="C62" i="13" s="1"/>
  <c r="C130" i="13"/>
  <c r="E130" i="13" s="1"/>
  <c r="C129" i="13"/>
  <c r="E129" i="13" s="1"/>
  <c r="C128" i="13"/>
  <c r="E128" i="13" s="1"/>
  <c r="E17" i="13" s="1"/>
  <c r="C127" i="13"/>
  <c r="E127" i="13" s="1"/>
  <c r="C125" i="13"/>
  <c r="E125" i="13" s="1"/>
  <c r="C124" i="13"/>
  <c r="E124" i="13" s="1"/>
  <c r="C122" i="13"/>
  <c r="E122" i="13" s="1"/>
  <c r="C121" i="13"/>
  <c r="E121" i="13" s="1"/>
  <c r="C120" i="13"/>
  <c r="E120" i="13" s="1"/>
  <c r="E19" i="13" s="1"/>
  <c r="C119" i="13"/>
  <c r="E119" i="13" s="1"/>
  <c r="E18" i="13" s="1"/>
  <c r="C117" i="13"/>
  <c r="E117" i="13" s="1"/>
  <c r="E98" i="13"/>
  <c r="E90" i="13"/>
  <c r="C90" i="13" s="1"/>
  <c r="C88" i="13"/>
  <c r="E85" i="13"/>
  <c r="C85" i="13" s="1"/>
  <c r="C83" i="13"/>
  <c r="C71" i="13"/>
  <c r="C68" i="13"/>
  <c r="E98" i="12"/>
  <c r="C171" i="12" a="1"/>
  <c r="C171" i="12" s="1"/>
  <c r="C51" i="12" s="1"/>
  <c r="C170" i="12" a="1"/>
  <c r="C170" i="12" s="1"/>
  <c r="C160" i="12" a="1"/>
  <c r="C160" i="12" s="1"/>
  <c r="C72" i="12" s="1"/>
  <c r="C148" i="12"/>
  <c r="C147" i="12"/>
  <c r="C146" i="12"/>
  <c r="C145" i="12"/>
  <c r="C144" i="12"/>
  <c r="C143" i="12"/>
  <c r="C142" i="12"/>
  <c r="C141" i="12"/>
  <c r="C136" i="12"/>
  <c r="C138" i="12" s="1"/>
  <c r="C14" i="12" s="1"/>
  <c r="C134" i="12"/>
  <c r="E134" i="12" s="1"/>
  <c r="C20" i="12" s="1"/>
  <c r="C132" i="12"/>
  <c r="E132" i="12" s="1"/>
  <c r="C62" i="12" s="1"/>
  <c r="C130" i="12"/>
  <c r="E130" i="12" s="1"/>
  <c r="C129" i="12"/>
  <c r="E129" i="12" s="1"/>
  <c r="C128" i="12"/>
  <c r="E128" i="12" s="1"/>
  <c r="C17" i="12" s="1"/>
  <c r="C127" i="12"/>
  <c r="E127" i="12" s="1"/>
  <c r="C16" i="12" s="1"/>
  <c r="C125" i="12"/>
  <c r="E125" i="12" s="1"/>
  <c r="C124" i="12"/>
  <c r="E124" i="12" s="1"/>
  <c r="C122" i="12"/>
  <c r="E122" i="12" s="1"/>
  <c r="C121" i="12"/>
  <c r="E121" i="12" s="1"/>
  <c r="C98" i="12" s="1"/>
  <c r="C120" i="12"/>
  <c r="E120" i="12" s="1"/>
  <c r="C19" i="12" s="1"/>
  <c r="C119" i="12"/>
  <c r="E119" i="12" s="1"/>
  <c r="C18" i="12" s="1"/>
  <c r="C117" i="12"/>
  <c r="E117" i="12" s="1"/>
  <c r="E90" i="12"/>
  <c r="C90" i="12" s="1"/>
  <c r="C88" i="12"/>
  <c r="E85" i="12"/>
  <c r="C85" i="12" s="1"/>
  <c r="C83" i="12"/>
  <c r="C71" i="12"/>
  <c r="C68" i="12"/>
  <c r="F99" i="11"/>
  <c r="C122" i="11"/>
  <c r="E122" i="11" s="1"/>
  <c r="F101" i="11"/>
  <c r="E101" i="11" s="1" a="1"/>
  <c r="E101" i="11" s="1"/>
  <c r="F100" i="11"/>
  <c r="E100" i="11" s="1" a="1"/>
  <c r="E100" i="11" s="1"/>
  <c r="C130" i="11"/>
  <c r="E130" i="11" s="1"/>
  <c r="C68" i="11"/>
  <c r="C71" i="11"/>
  <c r="C83" i="11"/>
  <c r="C88" i="11"/>
  <c r="C129" i="11"/>
  <c r="E129" i="11" s="1"/>
  <c r="C99" i="11" s="1"/>
  <c r="C121" i="11"/>
  <c r="E121" i="11" s="1"/>
  <c r="C98" i="11" s="1"/>
  <c r="C171" i="11" a="1"/>
  <c r="C171" i="11" s="1"/>
  <c r="C51" i="11" s="1"/>
  <c r="E85" i="11"/>
  <c r="C85" i="11" s="1"/>
  <c r="E90" i="11"/>
  <c r="C90" i="11" s="1"/>
  <c r="C170" i="11" a="1"/>
  <c r="C170" i="11" s="1"/>
  <c r="C5" i="11" s="1"/>
  <c r="C160" i="11" a="1"/>
  <c r="C160" i="11" s="1"/>
  <c r="C72" i="11" s="1"/>
  <c r="C148" i="11"/>
  <c r="C147" i="11"/>
  <c r="C146" i="11"/>
  <c r="C145" i="11"/>
  <c r="C144" i="11"/>
  <c r="C143" i="11"/>
  <c r="C142" i="11"/>
  <c r="C141" i="11"/>
  <c r="C136" i="11"/>
  <c r="C138" i="11" s="1"/>
  <c r="C14" i="11" s="1"/>
  <c r="C134" i="11"/>
  <c r="E134" i="11" s="1"/>
  <c r="C20" i="11" s="1"/>
  <c r="C132" i="11"/>
  <c r="E132" i="11" s="1"/>
  <c r="C62" i="11" s="1"/>
  <c r="C128" i="11"/>
  <c r="E128" i="11" s="1"/>
  <c r="C17" i="11" s="1"/>
  <c r="C127" i="11"/>
  <c r="E127" i="11" s="1"/>
  <c r="C16" i="11" s="1"/>
  <c r="C125" i="11"/>
  <c r="E125" i="11" s="1"/>
  <c r="C124" i="11"/>
  <c r="E124" i="11" s="1"/>
  <c r="C120" i="11"/>
  <c r="E120" i="11" s="1"/>
  <c r="C19" i="11" s="1"/>
  <c r="C119" i="11"/>
  <c r="E119" i="11" s="1"/>
  <c r="C18" i="11" s="1"/>
  <c r="C117" i="11"/>
  <c r="E117" i="11" s="1"/>
  <c r="E79" i="9"/>
  <c r="C79" i="9" s="1"/>
  <c r="E74" i="9"/>
  <c r="C74" i="9" s="1"/>
  <c r="C93" i="9"/>
  <c r="E93" i="9" s="1"/>
  <c r="C19" i="9" s="1"/>
  <c r="C57" i="9"/>
  <c r="C77" i="9"/>
  <c r="C72" i="9"/>
  <c r="C139" i="9" a="1"/>
  <c r="C139" i="9" s="1"/>
  <c r="C23" i="9" s="1"/>
  <c r="C97" i="10" a="1"/>
  <c r="C97" i="10" s="1"/>
  <c r="C34" i="10" s="1"/>
  <c r="C87" i="10"/>
  <c r="C86" i="10"/>
  <c r="C85" i="10"/>
  <c r="C84" i="10"/>
  <c r="C83" i="10"/>
  <c r="C82" i="10"/>
  <c r="C81" i="10"/>
  <c r="C80" i="10"/>
  <c r="C89" i="10" s="1" a="1"/>
  <c r="C89" i="10" s="1"/>
  <c r="C7" i="10" s="1"/>
  <c r="C75" i="10"/>
  <c r="C77" i="10" s="1"/>
  <c r="C10" i="10" s="1"/>
  <c r="C73" i="10"/>
  <c r="E73" i="10" s="1"/>
  <c r="C14" i="10" s="1"/>
  <c r="C71" i="10"/>
  <c r="E71" i="10" s="1"/>
  <c r="C24" i="10" s="1"/>
  <c r="C69" i="10"/>
  <c r="E69" i="10" s="1"/>
  <c r="C13" i="10" s="1"/>
  <c r="C68" i="10"/>
  <c r="E68" i="10" s="1"/>
  <c r="C12" i="10" s="1"/>
  <c r="C66" i="10"/>
  <c r="E66" i="10" s="1"/>
  <c r="C65" i="10"/>
  <c r="E65" i="10" s="1"/>
  <c r="C63" i="10"/>
  <c r="E63" i="10" s="1"/>
  <c r="C15" i="10" s="1"/>
  <c r="C61" i="10"/>
  <c r="E61" i="10" s="1"/>
  <c r="C33" i="10"/>
  <c r="C129" i="9" a="1"/>
  <c r="C129" i="9" s="1"/>
  <c r="C61" i="9" s="1"/>
  <c r="C98" i="9"/>
  <c r="E98" i="9" s="1"/>
  <c r="C16" i="9" s="1"/>
  <c r="C92" i="9"/>
  <c r="E92" i="9" s="1"/>
  <c r="C18" i="9" s="1"/>
  <c r="C60" i="9"/>
  <c r="C110" i="9"/>
  <c r="C111" i="9"/>
  <c r="C112" i="9"/>
  <c r="C113" i="9"/>
  <c r="C114" i="9"/>
  <c r="C115" i="9"/>
  <c r="C116" i="9"/>
  <c r="C117" i="9"/>
  <c r="C25" i="8"/>
  <c r="C105" i="9"/>
  <c r="C107" i="9" s="1"/>
  <c r="C14" i="9" s="1"/>
  <c r="C103" i="9"/>
  <c r="E103" i="9" s="1"/>
  <c r="C101" i="9"/>
  <c r="E101" i="9" s="1"/>
  <c r="C51" i="9" s="1"/>
  <c r="C99" i="9"/>
  <c r="E99" i="9" s="1"/>
  <c r="C17" i="9" s="1"/>
  <c r="C96" i="9"/>
  <c r="E96" i="9" s="1"/>
  <c r="C95" i="9"/>
  <c r="E95" i="9" s="1"/>
  <c r="C90" i="9"/>
  <c r="E90" i="9" s="1"/>
  <c r="C68" i="8"/>
  <c r="E68" i="8" s="1"/>
  <c r="C66" i="8"/>
  <c r="E66" i="8" s="1"/>
  <c r="C15" i="8" s="1"/>
  <c r="C64" i="8"/>
  <c r="E64" i="8" s="1"/>
  <c r="C62" i="8"/>
  <c r="E62" i="8" s="1"/>
  <c r="C60" i="8"/>
  <c r="E60" i="8" s="1"/>
  <c r="C14" i="8" s="1"/>
  <c r="C59" i="8"/>
  <c r="E59" i="8" s="1"/>
  <c r="C13" i="8" s="1"/>
  <c r="C57" i="8"/>
  <c r="E57" i="8" s="1"/>
  <c r="C16" i="8" s="1"/>
  <c r="C54" i="7"/>
  <c r="E54" i="7" s="1"/>
  <c r="C21" i="7" s="1"/>
  <c r="C58" i="7"/>
  <c r="E58" i="7" s="1"/>
  <c r="C50" i="7"/>
  <c r="E50" i="7" s="1"/>
  <c r="C11" i="7" s="1"/>
  <c r="C56" i="7"/>
  <c r="E56" i="7" s="1"/>
  <c r="C12" i="7" s="1"/>
  <c r="C52" i="7"/>
  <c r="E52" i="7" s="1"/>
  <c r="C49" i="7"/>
  <c r="E49" i="7" s="1"/>
  <c r="C10" i="7" s="1"/>
  <c r="C47" i="7"/>
  <c r="F55" i="6"/>
  <c r="C57" i="6"/>
  <c r="E57" i="6" s="1"/>
  <c r="C55" i="6"/>
  <c r="E55" i="6" s="1"/>
  <c r="C52" i="6"/>
  <c r="E52" i="6" s="1"/>
  <c r="C49" i="6"/>
  <c r="E49" i="6" s="1"/>
  <c r="C46" i="6"/>
  <c r="E46" i="6" s="1"/>
  <c r="C46" i="5"/>
  <c r="E46" i="5" s="1"/>
  <c r="C49" i="5"/>
  <c r="E49" i="5" s="1"/>
  <c r="E10" i="16" a="1"/>
  <c r="G100" i="16" a="1"/>
  <c r="G100" i="17" a="1"/>
  <c r="G100" i="14" a="1"/>
  <c r="G99" i="12" a="1"/>
  <c r="G99" i="13" a="1"/>
  <c r="G100" i="15" a="1"/>
  <c r="E17" i="17" l="1"/>
  <c r="C17" i="17" s="1"/>
  <c r="C18" i="17"/>
  <c r="C20" i="17"/>
  <c r="C19" i="17"/>
  <c r="C16" i="17"/>
  <c r="E28" i="17" a="1"/>
  <c r="E28" i="17" s="1"/>
  <c r="C28" i="17" s="1"/>
  <c r="E27" i="17" a="1"/>
  <c r="E27" i="17" s="1"/>
  <c r="C27" i="17" s="1"/>
  <c r="C29" i="17"/>
  <c r="C5" i="17"/>
  <c r="C17" i="16"/>
  <c r="C20" i="16"/>
  <c r="C19" i="16"/>
  <c r="C16" i="16"/>
  <c r="E138" i="17"/>
  <c r="G100" i="17"/>
  <c r="C100" i="17" s="1"/>
  <c r="C18" i="16"/>
  <c r="E10" i="16"/>
  <c r="E138" i="16"/>
  <c r="C99" i="16"/>
  <c r="G100" i="16"/>
  <c r="C5" i="16"/>
  <c r="C30" i="16"/>
  <c r="E16" i="15"/>
  <c r="C16" i="15" s="1"/>
  <c r="C19" i="15"/>
  <c r="C20" i="15"/>
  <c r="C17" i="15"/>
  <c r="C18" i="15"/>
  <c r="E138" i="15"/>
  <c r="C99" i="15"/>
  <c r="G100" i="15"/>
  <c r="C30" i="15"/>
  <c r="C5" i="15"/>
  <c r="E17" i="14"/>
  <c r="C17" i="14" s="1"/>
  <c r="C18" i="14"/>
  <c r="C20" i="14"/>
  <c r="C19" i="14"/>
  <c r="C16" i="14"/>
  <c r="E21" i="14"/>
  <c r="C99" i="14"/>
  <c r="E138" i="14"/>
  <c r="C30" i="14"/>
  <c r="C5" i="14"/>
  <c r="G100" i="14"/>
  <c r="E16" i="13"/>
  <c r="C16" i="13" s="1"/>
  <c r="C20" i="13"/>
  <c r="C19" i="13"/>
  <c r="C17" i="13"/>
  <c r="C18" i="13"/>
  <c r="C98" i="13"/>
  <c r="E136" i="13"/>
  <c r="G99" i="13"/>
  <c r="C5" i="13"/>
  <c r="C29" i="13"/>
  <c r="G99" i="12"/>
  <c r="C151" i="12" a="1"/>
  <c r="C151" i="12" s="1"/>
  <c r="C11" i="12" s="1"/>
  <c r="E136" i="12"/>
  <c r="C5" i="12"/>
  <c r="C29" i="12"/>
  <c r="C101" i="11"/>
  <c r="C100" i="11"/>
  <c r="C29" i="11"/>
  <c r="C151" i="11" a="1"/>
  <c r="C151" i="11" s="1"/>
  <c r="C11" i="11" s="1"/>
  <c r="E136" i="11"/>
  <c r="C20" i="9"/>
  <c r="C5" i="9"/>
  <c r="C120" i="9" a="1"/>
  <c r="C120" i="9" s="1"/>
  <c r="C11" i="9" s="1"/>
  <c r="E75" i="10"/>
  <c r="E105" i="9"/>
  <c r="C70" i="8"/>
  <c r="C11" i="8" s="1"/>
  <c r="C60" i="7"/>
  <c r="C8" i="7" s="1"/>
  <c r="E47" i="7"/>
  <c r="C13" i="7" s="1"/>
  <c r="C14" i="6"/>
  <c r="E52" i="5" a="1"/>
  <c r="E52" i="5" s="1"/>
  <c r="E51" i="5" a="1"/>
  <c r="E51" i="5" s="1"/>
  <c r="G101" i="17" a="1"/>
  <c r="G100" i="13" a="1"/>
  <c r="G100" i="12" a="1"/>
  <c r="G101" i="16" a="1"/>
  <c r="G101" i="15" a="1"/>
  <c r="G101" i="14" a="1"/>
  <c r="G101" i="17" l="1"/>
  <c r="F100" i="17" a="1"/>
  <c r="F100" i="17" s="1"/>
  <c r="E100" i="17"/>
  <c r="G101" i="16"/>
  <c r="F100" i="16" a="1"/>
  <c r="F100" i="16" s="1"/>
  <c r="E100" i="16"/>
  <c r="C100" i="16"/>
  <c r="G101" i="15"/>
  <c r="F100" i="15" a="1"/>
  <c r="F100" i="15" s="1"/>
  <c r="E100" i="15"/>
  <c r="C100" i="15"/>
  <c r="C21" i="14"/>
  <c r="G101" i="14"/>
  <c r="F100" i="14" a="1"/>
  <c r="F100" i="14" s="1"/>
  <c r="E100" i="14"/>
  <c r="C100" i="14"/>
  <c r="G100" i="13"/>
  <c r="F99" i="13" a="1"/>
  <c r="F99" i="13" s="1"/>
  <c r="E99" i="13"/>
  <c r="C99" i="13"/>
  <c r="G100" i="12"/>
  <c r="F100" i="12" s="1" a="1"/>
  <c r="F100" i="12" s="1"/>
  <c r="C99" i="12"/>
  <c r="E99" i="12"/>
  <c r="F99" i="12" a="1"/>
  <c r="F99" i="12" s="1"/>
  <c r="G102" i="14" a="1"/>
  <c r="G102" i="17" a="1"/>
  <c r="G102" i="15" a="1"/>
  <c r="G101" i="13" a="1"/>
  <c r="G101" i="12" a="1"/>
  <c r="G102" i="16" a="1"/>
  <c r="G102" i="17" l="1"/>
  <c r="F102" i="17" s="1" a="1"/>
  <c r="F102" i="17" s="1"/>
  <c r="C102" i="17" s="1"/>
  <c r="F101" i="17" a="1"/>
  <c r="F101" i="17" s="1"/>
  <c r="E101" i="17" s="1"/>
  <c r="C101" i="17" s="1"/>
  <c r="G102" i="16"/>
  <c r="F102" i="16" s="1" a="1"/>
  <c r="F102" i="16" s="1"/>
  <c r="F101" i="16" a="1"/>
  <c r="F101" i="16" s="1"/>
  <c r="E101" i="16" s="1"/>
  <c r="C101" i="16" s="1"/>
  <c r="G102" i="15"/>
  <c r="F102" i="15" s="1" a="1"/>
  <c r="F102" i="15" s="1"/>
  <c r="F101" i="15" a="1"/>
  <c r="F101" i="15" s="1"/>
  <c r="E101" i="15" s="1"/>
  <c r="C101" i="15" s="1"/>
  <c r="G102" i="14"/>
  <c r="F102" i="14" s="1" a="1"/>
  <c r="F102" i="14" s="1"/>
  <c r="F101" i="14" a="1"/>
  <c r="F101" i="14" s="1"/>
  <c r="E101" i="14" s="1"/>
  <c r="C101" i="14" s="1"/>
  <c r="G101" i="13"/>
  <c r="F101" i="13" s="1" a="1"/>
  <c r="F101" i="13" s="1"/>
  <c r="F100" i="13" a="1"/>
  <c r="F100" i="13" s="1"/>
  <c r="E100" i="13" s="1"/>
  <c r="C100" i="13" s="1"/>
  <c r="G101" i="12"/>
  <c r="E100" i="12"/>
  <c r="C100" i="12" s="1"/>
  <c r="E102" i="17" l="1"/>
  <c r="E102" i="16"/>
  <c r="C102" i="16"/>
  <c r="E102" i="15"/>
  <c r="C102" i="15"/>
  <c r="E102" i="14"/>
  <c r="C102" i="14"/>
  <c r="E101" i="13"/>
  <c r="C101" i="13"/>
  <c r="F101" i="12" a="1"/>
  <c r="F101" i="12" s="1"/>
  <c r="E101" i="12" l="1"/>
  <c r="C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<sst xmlns="http://schemas.openxmlformats.org/spreadsheetml/2006/main" count="1201" uniqueCount="199">
  <si>
    <t>MOV AX, var1</t>
  </si>
  <si>
    <t xml:space="preserve">AX = </t>
  </si>
  <si>
    <t>AL=</t>
  </si>
  <si>
    <t>AH=</t>
  </si>
  <si>
    <t>MOV BX, WORD PTR var2</t>
  </si>
  <si>
    <t>Index</t>
  </si>
  <si>
    <t>.stack 100</t>
  </si>
  <si>
    <t>Desenați zona de memorie</t>
  </si>
  <si>
    <t>AX =          AL =         AH =</t>
  </si>
  <si>
    <t xml:space="preserve">BX = </t>
  </si>
  <si>
    <t xml:space="preserve">SP = </t>
  </si>
  <si>
    <t xml:space="preserve">AX =                      BX = </t>
  </si>
  <si>
    <t>Egal / Diferit :</t>
  </si>
  <si>
    <t>salt DA/NU :</t>
  </si>
  <si>
    <t>Instrucțiune</t>
  </si>
  <si>
    <t>Răspuns</t>
  </si>
  <si>
    <t>.data</t>
  </si>
  <si>
    <t xml:space="preserve">  tabc DB '02'</t>
  </si>
  <si>
    <t xml:space="preserve">  var2 DB 55h</t>
  </si>
  <si>
    <t xml:space="preserve">  var1 DW 75h</t>
  </si>
  <si>
    <t>.model small</t>
  </si>
  <si>
    <t>.code</t>
  </si>
  <si>
    <t>program:</t>
  </si>
  <si>
    <t>End program</t>
  </si>
  <si>
    <t xml:space="preserve">  MOV AX, var1</t>
  </si>
  <si>
    <t xml:space="preserve">  MOV BX, WORD PTR var2</t>
  </si>
  <si>
    <t xml:space="preserve">  SUB AX, BX</t>
  </si>
  <si>
    <t xml:space="preserve">  push AX</t>
  </si>
  <si>
    <t xml:space="preserve">  push BX</t>
  </si>
  <si>
    <t xml:space="preserve">  XCHG AX, BX</t>
  </si>
  <si>
    <t xml:space="preserve">  SHR BX, 2</t>
  </si>
  <si>
    <t xml:space="preserve">  OR BX, 3h </t>
  </si>
  <si>
    <t xml:space="preserve">  CMP BX, 0Bh</t>
  </si>
  <si>
    <t xml:space="preserve">  JNE salt</t>
  </si>
  <si>
    <t xml:space="preserve">  INC BX</t>
  </si>
  <si>
    <t xml:space="preserve">  POP AX</t>
  </si>
  <si>
    <t xml:space="preserve">  POP BX</t>
  </si>
  <si>
    <t xml:space="preserve"> salt: </t>
  </si>
  <si>
    <t>sablon struc</t>
  </si>
  <si>
    <t>sablon ends</t>
  </si>
  <si>
    <t xml:space="preserve">  _bp dw ?</t>
  </si>
  <si>
    <t xml:space="preserve">  _ip dw ?</t>
  </si>
  <si>
    <t xml:space="preserve">  _nrEl dw ?</t>
  </si>
  <si>
    <t xml:space="preserve">  _adr3 dw ?</t>
  </si>
  <si>
    <t xml:space="preserve">  _adr2 dw ?</t>
  </si>
  <si>
    <t xml:space="preserve">  _adr1 dw ?</t>
  </si>
  <si>
    <t xml:space="preserve"> sfarsit:</t>
  </si>
  <si>
    <t xml:space="preserve">  mov AH, 4Ch</t>
  </si>
  <si>
    <t xml:space="preserve">  int 21h</t>
  </si>
  <si>
    <t xml:space="preserve">  MOV AX, @data</t>
  </si>
  <si>
    <t xml:space="preserve">  MOV DS, AX</t>
  </si>
  <si>
    <t xml:space="preserve"> initializare:</t>
  </si>
  <si>
    <t xml:space="preserve"> start:</t>
  </si>
  <si>
    <t>Nr rand (0 - 255)</t>
  </si>
  <si>
    <t>hex</t>
  </si>
  <si>
    <t>Nr rand (0 - 65535)</t>
  </si>
  <si>
    <t>Nr rand (256 - 65535)</t>
  </si>
  <si>
    <t>Nr rand (65536 - 4294967295)</t>
  </si>
  <si>
    <t>DB (0 - 255)</t>
  </si>
  <si>
    <t>DW (0 - 65535)</t>
  </si>
  <si>
    <t>DW (256 - 65535)</t>
  </si>
  <si>
    <t>DD (65536 - 4294967295)</t>
  </si>
  <si>
    <t>Numere random (dec)</t>
  </si>
  <si>
    <t>(hex)</t>
  </si>
  <si>
    <t>Stack (100 - 2048) even, rounded up</t>
  </si>
  <si>
    <t>Stack rounded down to tens value</t>
  </si>
  <si>
    <t xml:space="preserve">; . . . </t>
  </si>
  <si>
    <t xml:space="preserve">  tab DD var1, var2, var3, var4</t>
  </si>
  <si>
    <t>DW (4096 - 65535) - 4 hex word</t>
  </si>
  <si>
    <t xml:space="preserve">  SHR AX, 4</t>
  </si>
  <si>
    <t xml:space="preserve">  SHL AX, 8</t>
  </si>
  <si>
    <t xml:space="preserve">  SHR AX, CL</t>
  </si>
  <si>
    <t xml:space="preserve">  SHL AX, CL</t>
  </si>
  <si>
    <t xml:space="preserve">  ROL AX, CL</t>
  </si>
  <si>
    <t xml:space="preserve">  MOV BL, BYTE PTR var2</t>
  </si>
  <si>
    <r>
      <t> </t>
    </r>
    <r>
      <rPr>
        <sz val="12"/>
        <color rgb="FFBBCBCB"/>
        <rFont val="Consolas"/>
        <family val="3"/>
      </rPr>
      <t>initializare: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</si>
  <si>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</si>
  <si>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</si>
  <si>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start: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</si>
  <si>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</si>
  <si>
    <r>
      <t>  </t>
    </r>
    <r>
      <rPr>
        <sz val="12"/>
        <color rgb="FF3794CD"/>
        <rFont val="Consolas"/>
        <family val="3"/>
      </rPr>
      <t>SHR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</si>
  <si>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SHL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</si>
  <si>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</si>
  <si>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</si>
  <si>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var3 + </t>
    </r>
    <r>
      <rPr>
        <sz val="12"/>
        <color rgb="FFA3D98C"/>
        <rFont val="Consolas"/>
        <family val="3"/>
      </rPr>
      <t>2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</si>
  <si>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</si>
  <si>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masca</t>
    </r>
  </si>
  <si>
    <r>
      <t>masca</t>
    </r>
    <r>
      <rPr>
        <b/>
        <sz val="12"/>
        <color rgb="FFD4D4D4"/>
        <rFont val="Consolas"/>
        <family val="3"/>
      </rPr>
      <t> </t>
    </r>
    <r>
      <rPr>
        <b/>
        <sz val="12"/>
        <color rgb="FF9EC8E5"/>
        <rFont val="Consolas"/>
        <family val="3"/>
      </rPr>
      <t>equ</t>
    </r>
    <r>
      <rPr>
        <b/>
        <sz val="12"/>
        <color rgb="FFD4D4D4"/>
        <rFont val="Consolas"/>
        <family val="3"/>
      </rPr>
      <t> </t>
    </r>
    <r>
      <rPr>
        <b/>
        <sz val="12"/>
        <color rgb="FFA3D98C"/>
        <rFont val="Consolas"/>
        <family val="3"/>
      </rPr>
      <t>1010101010101010b</t>
    </r>
  </si>
  <si>
    <t>Măști</t>
  </si>
  <si>
    <r>
      <t>.</t>
    </r>
    <r>
      <rPr>
        <sz val="12"/>
        <color rgb="FFB2B1B4"/>
        <rFont val="Consolas"/>
        <family val="3"/>
      </rPr>
      <t xml:space="preserve">model </t>
    </r>
    <r>
      <rPr>
        <sz val="12"/>
        <color rgb="FFB351EC"/>
        <rFont val="Consolas"/>
        <family val="3"/>
      </rPr>
      <t>small</t>
    </r>
  </si>
  <si>
    <r>
      <t xml:space="preserve">  tab </t>
    </r>
    <r>
      <rPr>
        <sz val="12"/>
        <color rgb="FF3794CD"/>
        <rFont val="Consolas"/>
        <family val="3"/>
      </rPr>
      <t xml:space="preserve">DD </t>
    </r>
    <r>
      <rPr>
        <sz val="12"/>
        <color rgb="FFD4D4D4"/>
        <rFont val="Consolas"/>
        <family val="3"/>
      </rPr>
      <t>var1, var2, var3, var4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</si>
  <si>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 xml:space="preserve">, </t>
    </r>
    <r>
      <rPr>
        <sz val="12"/>
        <color rgb="FFA3D98C"/>
        <rFont val="Consolas"/>
        <family val="3"/>
      </rPr>
      <t>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</si>
  <si>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 xml:space="preserve">, </t>
    </r>
    <r>
      <rPr>
        <sz val="12"/>
        <color rgb="FFB2B1B4"/>
        <rFont val="Consolas"/>
        <family val="3"/>
      </rPr>
      <t>@data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</si>
  <si>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 xml:space="preserve">, </t>
    </r>
    <r>
      <rPr>
        <sz val="12"/>
        <color rgb="FFA2C3BB"/>
        <rFont val="Consolas"/>
        <family val="3"/>
      </rPr>
      <t>AX</t>
    </r>
  </si>
  <si>
    <t xml:space="preserve">  MOV BH, BYTE PTR var3 + 2</t>
  </si>
  <si>
    <t xml:space="preserve">  OR AX, BX</t>
  </si>
  <si>
    <t xml:space="preserve">  AND BX, masca</t>
  </si>
  <si>
    <r>
      <t xml:space="preserve">End </t>
    </r>
    <r>
      <rPr>
        <sz val="12"/>
        <color rgb="FFD4D4D4"/>
        <rFont val="Consolas"/>
        <family val="3"/>
      </rPr>
      <t>program</t>
    </r>
  </si>
  <si>
    <r>
      <t xml:space="preserve">sablon </t>
    </r>
    <r>
      <rPr>
        <sz val="12"/>
        <color rgb="FF3794CD"/>
        <rFont val="Consolas"/>
        <family val="3"/>
      </rPr>
      <t>ends</t>
    </r>
  </si>
  <si>
    <r>
      <t xml:space="preserve">sablon </t>
    </r>
    <r>
      <rPr>
        <sz val="12"/>
        <color rgb="FF3794CD"/>
        <rFont val="Consolas"/>
        <family val="3"/>
      </rPr>
      <t>struc</t>
    </r>
  </si>
  <si>
    <t>; . . .</t>
  </si>
  <si>
    <t xml:space="preserve">  OR BX, 3h</t>
  </si>
  <si>
    <t xml:space="preserve"> salt:</t>
  </si>
  <si>
    <t>DB (1 - 255)</t>
  </si>
  <si>
    <t>Instr rot/shiftare</t>
  </si>
  <si>
    <t>SHL</t>
  </si>
  <si>
    <t>SHR</t>
  </si>
  <si>
    <t>ROR</t>
  </si>
  <si>
    <t>ROL</t>
  </si>
  <si>
    <t xml:space="preserve">  NOT BX</t>
  </si>
  <si>
    <t>Proceduri</t>
  </si>
  <si>
    <t>comp_nr (dw nr1, dw nr2) -&gt; rez AL</t>
  </si>
  <si>
    <t xml:space="preserve">  call comp_nr</t>
  </si>
  <si>
    <t xml:space="preserve">  call compNr</t>
  </si>
  <si>
    <t xml:space="preserve">  _bx dw ?</t>
  </si>
  <si>
    <t xml:space="preserve">  _ax dw ?</t>
  </si>
  <si>
    <t xml:space="preserve">  push bp</t>
  </si>
  <si>
    <t xml:space="preserve">  mov bp, sp</t>
  </si>
  <si>
    <t xml:space="preserve">  mov dx, [bp]._bx</t>
  </si>
  <si>
    <t xml:space="preserve">  cmp [bp]._ax, dx</t>
  </si>
  <si>
    <t xml:space="preserve">  ja grt</t>
  </si>
  <si>
    <t xml:space="preserve">  jb lsr</t>
  </si>
  <si>
    <t xml:space="preserve">  mov al, 0</t>
  </si>
  <si>
    <t xml:space="preserve">  jmp sfr</t>
  </si>
  <si>
    <t xml:space="preserve"> grt:</t>
  </si>
  <si>
    <t xml:space="preserve">  mov al, 1</t>
  </si>
  <si>
    <t xml:space="preserve"> lsr:</t>
  </si>
  <si>
    <t xml:space="preserve">  mov al, -1</t>
  </si>
  <si>
    <t xml:space="preserve"> sfr:</t>
  </si>
  <si>
    <t xml:space="preserve">  ret</t>
  </si>
  <si>
    <t>endp compNr</t>
  </si>
  <si>
    <t xml:space="preserve">  pop bp</t>
  </si>
  <si>
    <t xml:space="preserve">  MOV CL, 4</t>
  </si>
  <si>
    <t>Măști random</t>
  </si>
  <si>
    <t>Instrucțiuni rot/sh random</t>
  </si>
  <si>
    <t>Instrucțiuni rot/sh</t>
  </si>
  <si>
    <t>Tip procedura</t>
  </si>
  <si>
    <t>near</t>
  </si>
  <si>
    <t>far</t>
  </si>
  <si>
    <t>Tip procedura random</t>
  </si>
  <si>
    <t xml:space="preserve">  CMP AL, 0h</t>
  </si>
  <si>
    <t xml:space="preserve">  ADD SP, 4</t>
  </si>
  <si>
    <t xml:space="preserve">  LES DI, TAB[BX]</t>
  </si>
  <si>
    <t xml:space="preserve"> maiMare:</t>
  </si>
  <si>
    <t xml:space="preserve"> maiMic:</t>
  </si>
  <si>
    <t xml:space="preserve">  jg maiMare</t>
  </si>
  <si>
    <t xml:space="preserve">  jl maiMic</t>
  </si>
  <si>
    <t xml:space="preserve">  je sfarsit</t>
  </si>
  <si>
    <t xml:space="preserve">  jmp SHORT sfarsit</t>
  </si>
  <si>
    <t xml:space="preserve">  push dx</t>
  </si>
  <si>
    <t xml:space="preserve">  pop dx</t>
  </si>
  <si>
    <t xml:space="preserve">  MOV DL, BYTE PTR var2</t>
  </si>
  <si>
    <t xml:space="preserve">  AND DX, masca</t>
  </si>
  <si>
    <t xml:space="preserve">  NOT DX</t>
  </si>
  <si>
    <t xml:space="preserve">  push DX</t>
  </si>
  <si>
    <t xml:space="preserve">  OR AX, DX</t>
  </si>
  <si>
    <t xml:space="preserve">  PUSH AX</t>
  </si>
  <si>
    <t xml:space="preserve">  PUSH BX</t>
  </si>
  <si>
    <t xml:space="preserve">  PUSH CX</t>
  </si>
  <si>
    <t xml:space="preserve">  PUSH DX</t>
  </si>
  <si>
    <t xml:space="preserve">  call nuFaceNimic</t>
  </si>
  <si>
    <t xml:space="preserve">  NOP</t>
  </si>
  <si>
    <t>endp nuFaceNimic</t>
  </si>
  <si>
    <t xml:space="preserve">  RET</t>
  </si>
  <si>
    <t xml:space="preserve">  jmp SHORT continua</t>
  </si>
  <si>
    <t xml:space="preserve">  je continua</t>
  </si>
  <si>
    <t xml:space="preserve">  tab DD var1, var2, var3, var4, var5</t>
  </si>
  <si>
    <t xml:space="preserve"> continua:</t>
  </si>
  <si>
    <t xml:space="preserve">  MOV BP, SP</t>
  </si>
  <si>
    <t xml:space="preserve">  POP DX</t>
  </si>
  <si>
    <t xml:space="preserve">  POP CX</t>
  </si>
  <si>
    <t>; procedura primeste ca parametrii prin stiva 2 numere:</t>
  </si>
  <si>
    <t xml:space="preserve">  _nr1 dw ?</t>
  </si>
  <si>
    <t xml:space="preserve">  _nr2 dw ?</t>
  </si>
  <si>
    <t xml:space="preserve">  cmp [bp]._nr1, dx</t>
  </si>
  <si>
    <t xml:space="preserve">  mov dx, [bp]._nr2</t>
  </si>
  <si>
    <t>; daca nr1 &lt; nr2 =&gt; AL = -1 (FFh)</t>
  </si>
  <si>
    <t>; daca nr1 &gt; nr2 =&gt; AL =  1 (01h)</t>
  </si>
  <si>
    <t>; daca nr1 = nr2 =&gt; AL =  0 (00h)</t>
  </si>
  <si>
    <t>; se compara primul numar cu al doilea:</t>
  </si>
  <si>
    <t xml:space="preserve">  PUSH SI</t>
  </si>
  <si>
    <t xml:space="preserve">  POP SI</t>
  </si>
  <si>
    <t>Idk if these 2 rows</t>
  </si>
  <si>
    <t>are still usefull</t>
  </si>
  <si>
    <t>ToDo - Randomize variable order</t>
  </si>
  <si>
    <t>with a DD always at the bottom</t>
  </si>
  <si>
    <t xml:space="preserve">  tab DD var1, var2, var3, var4, var5, var6</t>
  </si>
  <si>
    <t>Simboluri mai mare</t>
  </si>
  <si>
    <t>'&gt;' (3Eh)</t>
  </si>
  <si>
    <t>Simboluri egal</t>
  </si>
  <si>
    <t>'=' (3Dh)</t>
  </si>
  <si>
    <t>Set simboluri folosit:</t>
  </si>
  <si>
    <t>Simboluri mai mic</t>
  </si>
  <si>
    <t>-1 (FFh)</t>
  </si>
  <si>
    <t>'&lt;' (3Ch)</t>
  </si>
  <si>
    <t xml:space="preserve"> 1 (01h)</t>
  </si>
  <si>
    <t xml:space="preserve"> 0 (00h)</t>
  </si>
  <si>
    <t>'-' (2Dh)</t>
  </si>
  <si>
    <t>'+' (2Bh)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</si>
</sst>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4"/>
      <color rgb="FF000000"/>
      <name val="Consolas"/>
      <family val="3"/>
    </font>
    <font>
      <sz val="12"/>
      <color rgb="FF000000"/>
      <name val="Consolas"/>
      <family val="3"/>
    </font>
    <font>
      <b/>
      <sz val="12"/>
      <color rgb="FF000000"/>
      <name val="Consolas"/>
      <family val="3"/>
    </font>
    <font>
      <sz val="11"/>
      <color rgb="FF000000"/>
      <name val="Consolas"/>
      <family val="3"/>
    </font>
    <font>
      <b/>
      <sz val="11"/>
      <color rgb="FF000000"/>
      <name val="Consolas"/>
      <family val="3"/>
    </font>
    <font>
      <sz val="12"/>
      <color rgb="FFD4D4D4"/>
      <name val="Consolas"/>
      <family val="3"/>
    </font>
    <font>
      <sz val="12"/>
      <color rgb="FF9EC8E5"/>
      <name val="Consolas"/>
      <family val="3"/>
    </font>
    <font>
      <sz val="12"/>
      <color rgb="FFA3D98C"/>
      <name val="Consolas"/>
      <family val="3"/>
    </font>
    <font>
      <sz val="12"/>
      <color rgb="FFB2B1B4"/>
      <name val="Consolas"/>
      <family val="3"/>
    </font>
    <font>
      <sz val="12"/>
      <color rgb="FFB351EC"/>
      <name val="Consolas"/>
      <family val="3"/>
    </font>
    <font>
      <sz val="12"/>
      <color rgb="FF3794CD"/>
      <name val="Consolas"/>
      <family val="3"/>
    </font>
    <font>
      <sz val="12"/>
      <color rgb="FF7AA04B"/>
      <name val="Consolas"/>
      <family val="3"/>
    </font>
    <font>
      <sz val="12"/>
      <color rgb="FFBBCBCB"/>
      <name val="Consolas"/>
      <family val="3"/>
    </font>
    <font>
      <sz val="12"/>
      <color rgb="FFA2C3BB"/>
      <name val="Consolas"/>
      <family val="3"/>
    </font>
    <font>
      <b/>
      <sz val="12"/>
      <color rgb="FF4275B3"/>
      <name val="Consolas"/>
      <family val="3"/>
    </font>
    <font>
      <b/>
      <sz val="12"/>
      <color rgb="FFCF3DFF"/>
      <name val="Consolas"/>
      <family val="3"/>
    </font>
    <font>
      <b/>
      <sz val="12"/>
      <color rgb="FFD4D4D4"/>
      <name val="Consolas"/>
      <family val="3"/>
    </font>
    <font>
      <b/>
      <sz val="12"/>
      <color rgb="FF9EC8E5"/>
      <name val="Consolas"/>
      <family val="3"/>
    </font>
    <font>
      <b/>
      <sz val="12"/>
      <color rgb="FFA3D98C"/>
      <name val="Consolas"/>
      <family val="3"/>
    </font>
    <font>
      <b/>
      <sz val="12"/>
      <color theme="0"/>
      <name val="Consolas"/>
      <family val="3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b/>
      <sz val="12"/>
      <color theme="2"/>
      <name val="Consolas"/>
      <family val="3"/>
    </font>
    <font>
      <b/>
      <sz val="11"/>
      <color theme="2"/>
      <name val="Consolas"/>
      <family val="3"/>
    </font>
    <font>
      <sz val="12"/>
      <color theme="2"/>
      <name val="Consolas"/>
      <family val="3"/>
    </font>
    <font>
      <sz val="11"/>
      <color theme="2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  <font>
      <b/>
      <sz val="11"/>
      <color rgb="FFE7E6E6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 style="medium">
        <color theme="2" tint="-0.749961851863155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3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13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4" fillId="0" borderId="3" xfId="0" applyFont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5" xfId="0" applyFont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7" xfId="0" applyFont="1" applyFill="1" applyBorder="1" applyAlignment="1">
      <alignment horizontal="center" vertical="center"/>
    </xf>
    <xf numFmtId="0" fontId="21" fillId="2" borderId="17" xfId="0" applyFont="1" applyFill="1" applyBorder="1" applyAlignment="1">
      <alignment vertical="center"/>
    </xf>
    <xf numFmtId="0" fontId="22" fillId="2" borderId="17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vertical="center"/>
    </xf>
    <xf numFmtId="0" fontId="13" fillId="2" borderId="17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 wrapText="1"/>
    </xf>
    <xf numFmtId="0" fontId="17" fillId="2" borderId="17" xfId="0" applyFont="1" applyFill="1" applyBorder="1" applyAlignment="1">
      <alignment vertical="center"/>
    </xf>
    <xf numFmtId="0" fontId="23" fillId="2" borderId="17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8" fillId="2" borderId="17" xfId="0" applyFont="1" applyFill="1" applyBorder="1" applyAlignment="1">
      <alignment vertical="center"/>
    </xf>
    <xf numFmtId="0" fontId="0" fillId="0" borderId="0" xfId="0" applyNumberFormat="1"/>
    <xf numFmtId="0" fontId="24" fillId="2" borderId="17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vertical="center"/>
    </xf>
    <xf numFmtId="0" fontId="25" fillId="2" borderId="17" xfId="0" applyFont="1" applyFill="1" applyBorder="1" applyAlignment="1">
      <alignment horizontal="center" vertical="center"/>
    </xf>
    <xf numFmtId="0" fontId="26" fillId="2" borderId="17" xfId="0" applyFont="1" applyFill="1" applyBorder="1" applyAlignment="1">
      <alignment vertical="center"/>
    </xf>
    <xf numFmtId="0" fontId="27" fillId="2" borderId="17" xfId="0" applyFont="1" applyFill="1" applyBorder="1" applyAlignment="1">
      <alignment vertical="center" wrapText="1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8" fillId="0" borderId="0" xfId="0" applyFont="1"/>
    <xf numFmtId="0" fontId="28" fillId="0" borderId="0" xfId="0" applyNumberFormat="1" applyFont="1"/>
    <xf numFmtId="0" fontId="28" fillId="3" borderId="0" xfId="0" applyFont="1" applyFill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3" borderId="0" xfId="0" applyFill="1"/>
    <xf numFmtId="0" fontId="29" fillId="4" borderId="0" xfId="0" applyFont="1" applyFill="1"/>
    <xf numFmtId="0" fontId="30" fillId="2" borderId="17" xfId="0" applyFont="1" applyFill="1" applyBorder="1" applyAlignment="1">
      <alignment horizontal="center" vertical="center"/>
    </xf>
    <xf numFmtId="0" fontId="29" fillId="4" borderId="10" xfId="0" applyFont="1" applyFill="1" applyBorder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49" fontId="28" fillId="0" borderId="0" xfId="0" quotePrefix="1" applyNumberFormat="1" applyFont="1"/>
    <xf numFmtId="49" fontId="0" fillId="0" borderId="0" xfId="0" applyNumberFormat="1"/>
    <xf numFmtId="0" fontId="0" fillId="0" borderId="0" xfId="0" quotePrefix="1" applyAlignment="1">
      <alignment horizontal="left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7" fillId="2" borderId="20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E1E1E"/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F66A-1114-4EE8-A862-296BD9540B3A}">
  <sheetPr codeName="Sheet16"/>
  <dimension ref="A1:K201"/>
  <sheetViews>
    <sheetView tabSelected="1" zoomScale="85" zoomScaleNormal="85" workbookViewId="0">
      <selection activeCell="E31" sqref="E3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0101010101010101b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1870</v>
      </c>
      <c r="D14" s="10"/>
    </row>
    <row r="15" spans="1:6" ht="16.5" customHeight="1" thickBot="1" x14ac:dyDescent="0.3">
      <c r="A15" s="7"/>
      <c r="B15" s="73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79">
        <v>3</v>
      </c>
      <c r="C16" s="57" t="str">
        <f ca="1">_xlfn.CONCAT("  var1 ", E16)</f>
        <v xml:space="preserve">  var1 DW 0BC67h</v>
      </c>
      <c r="D16" s="10"/>
      <c r="E16" s="68" t="str">
        <f ca="1">_xlfn.CONCAT("DW ", E128)</f>
        <v>DW 0BC67h</v>
      </c>
      <c r="F16" s="67" t="s">
        <v>185</v>
      </c>
    </row>
    <row r="17" spans="1:6" ht="17.100000000000001" customHeight="1" thickBot="1" x14ac:dyDescent="0.3">
      <c r="A17" s="7"/>
      <c r="B17" s="79"/>
      <c r="C17" s="57" t="str">
        <f ca="1">_xlfn.CONCAT("  var2 ", E17)</f>
        <v xml:space="preserve">  var2 DB 4Ah</v>
      </c>
      <c r="D17" s="10"/>
      <c r="E17" s="68" t="str">
        <f ca="1">_xlfn.CONCAT("DB ", E120)</f>
        <v>DB 4Ah</v>
      </c>
      <c r="F17" s="67"/>
    </row>
    <row r="18" spans="1:6" ht="17.100000000000001" customHeight="1" thickBot="1" x14ac:dyDescent="0.3">
      <c r="A18" s="7"/>
      <c r="B18" s="79"/>
      <c r="C18" s="57" t="str">
        <f ca="1">_xlfn.CONCAT("  var3 ", E18)</f>
        <v xml:space="preserve">  var3 DB 6Dh</v>
      </c>
      <c r="D18" s="10"/>
      <c r="E18" s="68" t="str">
        <f ca="1">_xlfn.CONCAT("DB ", E121)</f>
        <v>DB 6Dh</v>
      </c>
      <c r="F18" s="67"/>
    </row>
    <row r="19" spans="1:6" ht="17.100000000000001" customHeight="1" thickBot="1" x14ac:dyDescent="0.3">
      <c r="A19" s="7"/>
      <c r="B19" s="79"/>
      <c r="C19" s="57" t="str">
        <f ca="1">_xlfn.CONCAT("  var4 ", E19)</f>
        <v xml:space="preserve">  var4 DD 0E8A4CAB9h</v>
      </c>
      <c r="D19" s="10"/>
      <c r="E19" s="68" t="str">
        <f ca="1">_xlfn.CONCAT("DD ", E136)</f>
        <v>DD 0E8A4CAB9h</v>
      </c>
      <c r="F19" s="67"/>
    </row>
    <row r="20" spans="1:6" ht="17.100000000000001" customHeight="1" thickBot="1" x14ac:dyDescent="0.3">
      <c r="A20" s="7"/>
      <c r="B20" s="79"/>
      <c r="C20" s="57" t="str">
        <f ca="1">_xlfn.CONCAT("  var5 ", E20)</f>
        <v xml:space="preserve">  var5 DW 9BE8h</v>
      </c>
      <c r="D20" s="10"/>
      <c r="E20" s="68" t="str">
        <f ca="1">_xlfn.CONCAT("DW ", E129)</f>
        <v>DW 9BE8h</v>
      </c>
      <c r="F20" s="67"/>
    </row>
    <row r="21" spans="1:6" ht="17.100000000000001" customHeight="1" thickBot="1" x14ac:dyDescent="0.3">
      <c r="A21" s="7"/>
      <c r="B21" s="79"/>
      <c r="C21" s="57" t="str">
        <f ca="1">_xlfn.CONCAT("  var6 ", E21)</f>
        <v xml:space="preserve">  var6 DD 66E02840h</v>
      </c>
      <c r="D21" s="10"/>
      <c r="E21" s="68" t="str">
        <f ca="1">_xlfn.CONCAT("DD ", E135)</f>
        <v>DD 66E02840h</v>
      </c>
      <c r="F21" s="67"/>
    </row>
    <row r="22" spans="1:6" ht="17.100000000000001" customHeight="1" thickBot="1" x14ac:dyDescent="0.3">
      <c r="A22" s="7"/>
      <c r="B22" s="79"/>
      <c r="C22" s="57" t="s">
        <v>186</v>
      </c>
      <c r="D22" s="10"/>
    </row>
    <row r="23" spans="1:6" ht="17.100000000000001" customHeight="1" thickBot="1" x14ac:dyDescent="0.3">
      <c r="A23" s="7"/>
      <c r="B23" s="73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73"/>
      <c r="C24" s="57"/>
      <c r="D24" s="10"/>
      <c r="F24" s="68">
        <v>3</v>
      </c>
    </row>
    <row r="25" spans="1:6" ht="17.100000000000001" customHeight="1" thickBot="1" x14ac:dyDescent="0.3">
      <c r="A25" s="7"/>
      <c r="B25" s="73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73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73"/>
      <c r="C27" s="57" t="str">
        <f ca="1">_xlfn.CONCAT("; daca nr1 &gt; nr2 =&gt; AL =  ", E27)</f>
        <v>; daca nr1 &gt; nr2 =&gt; AL =  '&gt;' (3Eh)</v>
      </c>
      <c r="D27" s="10"/>
      <c r="E27" s="75" t="str" cm="1">
        <f t="array" aca="1" ref="E27" ca="1">_xlfn.IFS(C191=1, C176, C191=2, C177, C191 = 3, C178)</f>
        <v>'&gt;' (3Eh)</v>
      </c>
      <c r="F27" s="68">
        <v>5</v>
      </c>
    </row>
    <row r="28" spans="1:6" ht="17.100000000000001" customHeight="1" thickBot="1" x14ac:dyDescent="0.3">
      <c r="A28" s="7"/>
      <c r="B28" s="73"/>
      <c r="C28" s="57" t="str">
        <f ca="1">_xlfn.CONCAT("; daca nr1 = nr2 =&gt; AL =  ", E28)</f>
        <v>; daca nr1 = nr2 =&gt; AL =  '=' (3Dh)</v>
      </c>
      <c r="D28" s="10"/>
      <c r="E28" s="75" t="str" cm="1">
        <f t="array" aca="1" ref="E28" ca="1">_xlfn.IFS($C$191=1, C181, $C$191=2, C182, $C$191=3, C182 )</f>
        <v>'=' (3Dh)</v>
      </c>
    </row>
    <row r="29" spans="1:6" ht="17.100000000000001" customHeight="1" thickBot="1" x14ac:dyDescent="0.3">
      <c r="A29" s="7"/>
      <c r="B29" s="73"/>
      <c r="C29" s="57" t="str">
        <f ca="1">_xlfn.CONCAT("; daca nr1 &lt; nr2 =&gt; AL =  ", E29)</f>
        <v>; daca nr1 &lt; nr2 =&gt; AL =  '&lt;' (3Ch)</v>
      </c>
      <c r="D29" s="10"/>
      <c r="E29" s="75" t="str" cm="1">
        <f t="array" aca="1" ref="E29" ca="1">_xlfn.IFS($C$191=1, C186, $C$191=2, C187, C191 = 3, C188)</f>
        <v>'&lt;' (3Ch)</v>
      </c>
    </row>
    <row r="30" spans="1:6" ht="17.100000000000001" customHeight="1" thickBot="1" x14ac:dyDescent="0.3">
      <c r="A30" s="7"/>
      <c r="B30" s="73"/>
      <c r="C30" s="57" t="str">
        <f ca="1">_xlfn.CONCAT("proc compNr ", C172)</f>
        <v>proc compNr near</v>
      </c>
      <c r="D30" s="10"/>
    </row>
    <row r="31" spans="1:6" ht="17.100000000000001" customHeight="1" thickBot="1" x14ac:dyDescent="0.3">
      <c r="A31" s="7"/>
      <c r="B31" s="73"/>
      <c r="C31" s="57" t="s">
        <v>116</v>
      </c>
      <c r="D31" s="10"/>
    </row>
    <row r="32" spans="1:6" ht="17.100000000000001" customHeight="1" thickBot="1" x14ac:dyDescent="0.3">
      <c r="A32" s="7"/>
      <c r="B32" s="73"/>
      <c r="C32" s="57" t="s">
        <v>117</v>
      </c>
      <c r="D32" s="10"/>
    </row>
    <row r="33" spans="1:4" ht="17.100000000000001" customHeight="1" thickBot="1" x14ac:dyDescent="0.3">
      <c r="A33" s="7"/>
      <c r="B33" s="73"/>
      <c r="C33" s="57" t="s">
        <v>149</v>
      </c>
      <c r="D33" s="10"/>
    </row>
    <row r="34" spans="1:4" ht="17.100000000000001" customHeight="1" thickBot="1" x14ac:dyDescent="0.3">
      <c r="A34" s="7"/>
      <c r="B34" s="73"/>
      <c r="C34" s="57" t="s">
        <v>175</v>
      </c>
      <c r="D34" s="10"/>
    </row>
    <row r="35" spans="1:4" ht="17.100000000000001" customHeight="1" thickBot="1" x14ac:dyDescent="0.3">
      <c r="A35" s="7"/>
      <c r="B35" s="73"/>
      <c r="C35" s="57" t="s">
        <v>174</v>
      </c>
      <c r="D35" s="10"/>
    </row>
    <row r="36" spans="1:4" ht="17.100000000000001" customHeight="1" thickBot="1" x14ac:dyDescent="0.3">
      <c r="A36" s="7"/>
      <c r="B36" s="73"/>
      <c r="C36" s="57" t="s">
        <v>120</v>
      </c>
      <c r="D36" s="10"/>
    </row>
    <row r="37" spans="1:4" ht="17.100000000000001" customHeight="1" thickBot="1" x14ac:dyDescent="0.3">
      <c r="A37" s="7"/>
      <c r="B37" s="73"/>
      <c r="C37" s="57" t="s">
        <v>121</v>
      </c>
      <c r="D37" s="10"/>
    </row>
    <row r="38" spans="1:4" ht="17.100000000000001" customHeight="1" thickBot="1" x14ac:dyDescent="0.3">
      <c r="A38" s="7"/>
      <c r="B38" s="73"/>
      <c r="C38" s="57" t="s">
        <v>122</v>
      </c>
      <c r="D38" s="10"/>
    </row>
    <row r="39" spans="1:4" ht="17.100000000000001" customHeight="1" thickBot="1" x14ac:dyDescent="0.3">
      <c r="A39" s="7"/>
      <c r="B39" s="73"/>
      <c r="C39" s="57" t="s">
        <v>123</v>
      </c>
      <c r="D39" s="10"/>
    </row>
    <row r="40" spans="1:4" ht="17.100000000000001" customHeight="1" thickBot="1" x14ac:dyDescent="0.3">
      <c r="A40" s="7"/>
      <c r="B40" s="73"/>
      <c r="C40" s="57" t="s">
        <v>124</v>
      </c>
      <c r="D40" s="10"/>
    </row>
    <row r="41" spans="1:4" ht="17.100000000000001" customHeight="1" thickBot="1" x14ac:dyDescent="0.3">
      <c r="A41" s="7"/>
      <c r="B41" s="73"/>
      <c r="C41" s="57" t="s">
        <v>125</v>
      </c>
      <c r="D41" s="10"/>
    </row>
    <row r="42" spans="1:4" ht="17.100000000000001" customHeight="1" thickBot="1" x14ac:dyDescent="0.3">
      <c r="A42" s="7"/>
      <c r="B42" s="73"/>
      <c r="C42" s="57" t="s">
        <v>123</v>
      </c>
      <c r="D42" s="10"/>
    </row>
    <row r="43" spans="1:4" ht="17.100000000000001" customHeight="1" thickBot="1" x14ac:dyDescent="0.3">
      <c r="A43" s="7"/>
      <c r="B43" s="73"/>
      <c r="C43" s="57" t="s">
        <v>126</v>
      </c>
      <c r="D43" s="10"/>
    </row>
    <row r="44" spans="1:4" ht="17.100000000000001" customHeight="1" thickBot="1" x14ac:dyDescent="0.3">
      <c r="A44" s="7"/>
      <c r="B44" s="73"/>
      <c r="C44" s="57" t="s">
        <v>127</v>
      </c>
      <c r="D44" s="10"/>
    </row>
    <row r="45" spans="1:4" ht="17.100000000000001" customHeight="1" thickBot="1" x14ac:dyDescent="0.3">
      <c r="A45" s="7"/>
      <c r="B45" s="73"/>
      <c r="C45" s="57" t="s">
        <v>123</v>
      </c>
      <c r="D45" s="10"/>
    </row>
    <row r="46" spans="1:4" ht="17.100000000000001" customHeight="1" thickBot="1" x14ac:dyDescent="0.3">
      <c r="A46" s="7"/>
      <c r="B46" s="73"/>
      <c r="C46" s="57" t="s">
        <v>128</v>
      </c>
      <c r="D46" s="10"/>
    </row>
    <row r="47" spans="1:4" ht="17.100000000000001" customHeight="1" thickBot="1" x14ac:dyDescent="0.3">
      <c r="A47" s="7"/>
      <c r="B47" s="73"/>
      <c r="C47" s="57" t="s">
        <v>150</v>
      </c>
      <c r="D47" s="10"/>
    </row>
    <row r="48" spans="1:4" ht="17.100000000000001" customHeight="1" thickBot="1" x14ac:dyDescent="0.3">
      <c r="A48" s="7"/>
      <c r="B48" s="73"/>
      <c r="C48" s="57" t="s">
        <v>131</v>
      </c>
      <c r="D48" s="10"/>
    </row>
    <row r="49" spans="1:4" ht="17.100000000000001" customHeight="1" thickBot="1" x14ac:dyDescent="0.3">
      <c r="A49" s="7"/>
      <c r="B49" s="73"/>
      <c r="C49" s="57" t="s">
        <v>129</v>
      </c>
      <c r="D49" s="10"/>
    </row>
    <row r="50" spans="1:4" ht="17.100000000000001" customHeight="1" thickBot="1" x14ac:dyDescent="0.3">
      <c r="A50" s="7"/>
      <c r="B50" s="73"/>
      <c r="C50" s="57" t="s">
        <v>130</v>
      </c>
      <c r="D50" s="10"/>
    </row>
    <row r="51" spans="1:4" ht="17.100000000000001" customHeight="1" thickBot="1" x14ac:dyDescent="0.3">
      <c r="A51" s="7"/>
      <c r="B51" s="73"/>
      <c r="C51" s="57"/>
      <c r="D51" s="10"/>
    </row>
    <row r="52" spans="1:4" ht="17.100000000000001" customHeight="1" thickBot="1" x14ac:dyDescent="0.3">
      <c r="A52" s="7"/>
      <c r="B52" s="73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73"/>
      <c r="C53" s="57" t="s">
        <v>161</v>
      </c>
      <c r="D53" s="10"/>
    </row>
    <row r="54" spans="1:4" ht="17.100000000000001" customHeight="1" thickBot="1" x14ac:dyDescent="0.3">
      <c r="A54" s="7"/>
      <c r="B54" s="73"/>
      <c r="C54" s="57" t="s">
        <v>163</v>
      </c>
      <c r="D54" s="10"/>
    </row>
    <row r="55" spans="1:4" ht="17.100000000000001" customHeight="1" thickBot="1" x14ac:dyDescent="0.3">
      <c r="A55" s="7"/>
      <c r="B55" s="73"/>
      <c r="C55" s="57" t="s">
        <v>162</v>
      </c>
      <c r="D55" s="10"/>
    </row>
    <row r="56" spans="1:4" ht="17.100000000000001" customHeight="1" thickBot="1" x14ac:dyDescent="0.3">
      <c r="A56" s="7"/>
      <c r="B56" s="73"/>
      <c r="C56" s="57"/>
      <c r="D56" s="10"/>
    </row>
    <row r="57" spans="1:4" ht="17.100000000000001" customHeight="1" thickBot="1" x14ac:dyDescent="0.3">
      <c r="A57" s="7"/>
      <c r="B57" s="73"/>
      <c r="C57" s="57" t="s">
        <v>22</v>
      </c>
      <c r="D57" s="10"/>
    </row>
    <row r="58" spans="1:4" ht="17.100000000000001" customHeight="1" thickBot="1" x14ac:dyDescent="0.3">
      <c r="A58" s="7"/>
      <c r="B58" s="80">
        <v>3</v>
      </c>
      <c r="C58" s="57" t="s">
        <v>51</v>
      </c>
      <c r="D58" s="10"/>
    </row>
    <row r="59" spans="1:4" ht="17.100000000000001" customHeight="1" thickBot="1" x14ac:dyDescent="0.3">
      <c r="A59" s="7"/>
      <c r="B59" s="81"/>
      <c r="C59" s="57" t="s">
        <v>49</v>
      </c>
      <c r="D59" s="10"/>
    </row>
    <row r="60" spans="1:4" ht="17.100000000000001" customHeight="1" thickBot="1" x14ac:dyDescent="0.3">
      <c r="A60" s="7"/>
      <c r="B60" s="82"/>
      <c r="C60" s="57" t="s">
        <v>50</v>
      </c>
      <c r="D60" s="10"/>
    </row>
    <row r="61" spans="1:4" ht="17.100000000000001" customHeight="1" thickBot="1" x14ac:dyDescent="0.3">
      <c r="A61" s="7"/>
      <c r="B61" s="73"/>
      <c r="C61" s="57" t="s">
        <v>52</v>
      </c>
      <c r="D61" s="10"/>
    </row>
    <row r="62" spans="1:4" ht="17.100000000000001" customHeight="1" thickBot="1" x14ac:dyDescent="0.3">
      <c r="A62" s="7"/>
      <c r="B62" s="73">
        <v>4</v>
      </c>
      <c r="C62" s="57" t="s">
        <v>132</v>
      </c>
      <c r="D62" s="10"/>
    </row>
    <row r="63" spans="1:4" ht="17.100000000000001" customHeight="1" thickBot="1" x14ac:dyDescent="0.3">
      <c r="A63" s="7"/>
      <c r="B63" s="73">
        <v>5</v>
      </c>
      <c r="C63" s="57" t="str">
        <f ca="1">_xlfn.CONCAT("  mov AX, ", E133)</f>
        <v xml:space="preserve">  mov AX, 0FB2Dh</v>
      </c>
      <c r="D63" s="10"/>
    </row>
    <row r="64" spans="1:4" ht="17.100000000000001" customHeight="1" thickBot="1" x14ac:dyDescent="0.3">
      <c r="A64" s="7"/>
      <c r="B64" s="73">
        <v>6</v>
      </c>
      <c r="C64" s="57" t="s">
        <v>71</v>
      </c>
      <c r="D64" s="10"/>
    </row>
    <row r="65" spans="1:4" ht="17.100000000000001" customHeight="1" thickBot="1" x14ac:dyDescent="0.3">
      <c r="A65" s="7"/>
      <c r="B65" s="73">
        <v>7</v>
      </c>
      <c r="C65" s="57" t="s">
        <v>72</v>
      </c>
      <c r="D65" s="10"/>
    </row>
    <row r="66" spans="1:4" ht="17.100000000000001" customHeight="1" thickBot="1" x14ac:dyDescent="0.3">
      <c r="A66" s="7"/>
      <c r="B66" s="73">
        <v>8</v>
      </c>
      <c r="C66" s="57" t="s">
        <v>72</v>
      </c>
      <c r="D66" s="10"/>
    </row>
    <row r="67" spans="1:4" ht="17.100000000000001" customHeight="1" thickBot="1" x14ac:dyDescent="0.3">
      <c r="A67" s="7"/>
      <c r="B67" s="73">
        <v>9</v>
      </c>
      <c r="C67" s="57" t="s">
        <v>73</v>
      </c>
      <c r="D67" s="10"/>
    </row>
    <row r="68" spans="1:4" ht="17.100000000000001" customHeight="1" thickBot="1" x14ac:dyDescent="0.3">
      <c r="A68" s="7"/>
      <c r="B68" s="73">
        <v>10</v>
      </c>
      <c r="C68" s="57" t="str">
        <f ca="1">_xlfn.CONCAT("  MOV DL, BYTE PTR var", RANDBETWEEN(1, 5) )</f>
        <v xml:space="preserve">  MOV DL, BYTE PTR var5</v>
      </c>
      <c r="D68" s="10"/>
    </row>
    <row r="69" spans="1:4" ht="17.100000000000001" customHeight="1" thickBot="1" x14ac:dyDescent="0.3">
      <c r="A69" s="7"/>
      <c r="B69" s="73">
        <v>11</v>
      </c>
      <c r="C69" s="57" t="str">
        <f ca="1">_xlfn.CONCAT( "  MOV DH, BYTE PTR var6 + ", RANDBETWEEN(1, 3) )</f>
        <v xml:space="preserve">  MOV DH, BYTE PTR var6 + 2</v>
      </c>
      <c r="D69" s="10"/>
    </row>
    <row r="70" spans="1:4" ht="17.100000000000001" customHeight="1" thickBot="1" x14ac:dyDescent="0.3">
      <c r="A70" s="7"/>
      <c r="B70" s="73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73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73">
        <v>14</v>
      </c>
      <c r="C72" s="57" t="str">
        <f ca="1">_xlfn.CONCAT( "  MOV CL, ", RANDBETWEEN(1, 3) )</f>
        <v xml:space="preserve">  MOV CL, 1</v>
      </c>
      <c r="D72" s="10"/>
    </row>
    <row r="73" spans="1:4" ht="17.100000000000001" customHeight="1" thickBot="1" x14ac:dyDescent="0.3">
      <c r="A73" s="7"/>
      <c r="B73" s="73">
        <v>15</v>
      </c>
      <c r="C73" s="57" t="str">
        <f ca="1">_xlfn.CONCAT("  ",C162," DX, CL")</f>
        <v xml:space="preserve">  ROR DX, CL</v>
      </c>
      <c r="D73" s="10"/>
    </row>
    <row r="74" spans="1:4" ht="17.100000000000001" customHeight="1" thickBot="1" x14ac:dyDescent="0.3">
      <c r="A74" s="7"/>
      <c r="B74" s="73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73">
        <v>17</v>
      </c>
      <c r="C75" s="57" t="s">
        <v>27</v>
      </c>
      <c r="D75" s="10"/>
    </row>
    <row r="76" spans="1:4" ht="17.100000000000001" customHeight="1" thickBot="1" x14ac:dyDescent="0.3">
      <c r="A76" s="7"/>
      <c r="B76" s="73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73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73"/>
      <c r="C78" s="57" t="s">
        <v>141</v>
      </c>
      <c r="D78" s="10"/>
    </row>
    <row r="79" spans="1:4" ht="17.100000000000001" customHeight="1" thickBot="1" x14ac:dyDescent="0.3">
      <c r="A79" s="7"/>
      <c r="B79" s="73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73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73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73"/>
      <c r="C82" s="57" t="s">
        <v>165</v>
      </c>
      <c r="D82" s="10"/>
    </row>
    <row r="83" spans="1:7" ht="17.100000000000001" customHeight="1" thickBot="1" x14ac:dyDescent="0.3">
      <c r="A83" s="7"/>
      <c r="B83" s="73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73"/>
      <c r="C84" s="57" t="str">
        <f ca="1">_xlfn.CONCAT("  MOV BX, ", (RANDBETWEEN(0, 3) * 4) )</f>
        <v xml:space="preserve">  MOV BX, 0</v>
      </c>
      <c r="D84" s="10"/>
    </row>
    <row r="85" spans="1:7" ht="17.100000000000001" customHeight="1" thickBot="1" x14ac:dyDescent="0.3">
      <c r="A85" s="7"/>
      <c r="B85" s="73"/>
      <c r="C85" s="57" t="s">
        <v>142</v>
      </c>
      <c r="D85" s="10"/>
    </row>
    <row r="86" spans="1:7" ht="17.100000000000001" customHeight="1" thickBot="1" x14ac:dyDescent="0.3">
      <c r="A86" s="7"/>
      <c r="B86" s="73"/>
      <c r="C86" s="57" t="str">
        <f ca="1">IF(E86="  MOV CX, WORD PTR ES:[DI + 0]", "  MOV CX, WORD PTR ES:[DI]", E86)</f>
        <v xml:space="preserve">  MOV CX, WORD PTR ES:[DI + 2]</v>
      </c>
      <c r="D86" s="10"/>
      <c r="E86" s="62" t="str">
        <f ca="1">_xlfn.CONCAT("  MOV CX, WORD PTR ES:[DI + ", RANDBETWEEN(0, 3), "]")</f>
        <v xml:space="preserve">  MOV CX, WORD PTR ES:[DI + 2]</v>
      </c>
      <c r="F86" s="62"/>
      <c r="G86" s="62"/>
    </row>
    <row r="87" spans="1:7" ht="17.100000000000001" customHeight="1" thickBot="1" x14ac:dyDescent="0.3">
      <c r="A87" s="7"/>
      <c r="B87" s="73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73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73">
        <v>25</v>
      </c>
      <c r="C89" s="57" t="str">
        <f ca="1">_xlfn.CONCAT("  MOV BX, ", (RANDBETWEEN(0, 3) * 4) )</f>
        <v xml:space="preserve">  MOV BX, 12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73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73"/>
      <c r="C91" s="57" t="str">
        <f ca="1">IF(E91="  MOV CX, WORD PTR ES:[DI + 0]", "  MOV CX, WORD PTR ES:[DI]", E91)</f>
        <v xml:space="preserve">  MOV CX, WORD PTR ES:[DI + 2]</v>
      </c>
      <c r="D91" s="10"/>
      <c r="E91" s="62" t="str">
        <f ca="1">_xlfn.CONCAT("  MOV CX, WORD PTR ES:[DI + ", RANDBETWEEN(0, 3), "]")</f>
        <v xml:space="preserve">  MOV CX, WORD PTR ES:[DI + 2]</v>
      </c>
      <c r="F91" s="62"/>
      <c r="G91" s="62"/>
    </row>
    <row r="92" spans="1:7" ht="17.100000000000001" customHeight="1" thickBot="1" x14ac:dyDescent="0.3">
      <c r="A92" s="9"/>
      <c r="B92" s="74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74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74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74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74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74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74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74"/>
      <c r="C99" s="57" t="str">
        <f ca="1">_xlfn.CONCAT(E99, E122)</f>
        <v xml:space="preserve">  MOV BYTE PTR [BP + 1], 7Fh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74"/>
      <c r="C100" s="57" t="str">
        <f ca="1">_xlfn.CONCAT("  MOV WORD PTR [BP - ", ABS(G100),"], ", E130)</f>
        <v xml:space="preserve">  MOV WORD PTR [BP - 3], 532Ch</v>
      </c>
      <c r="D100" s="10"/>
      <c r="E100" s="64" t="str">
        <f ca="1">_xlfn.CONCAT("  MOV WORD PTR [BP - ", G100,"], ")</f>
        <v xml:space="preserve">  MOV WORD PTR [BP - -3],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randNrBetweenWithException(-3, -1, -2)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74"/>
      <c r="C101" s="57" t="str">
        <f ca="1">_xlfn.CONCAT(E101, E131)</f>
        <v xml:space="preserve">  MOV WORD PTR [BP], 0F167h</v>
      </c>
      <c r="D101" s="10"/>
      <c r="E101" s="64" t="str">
        <f ca="1">IF(F101=E100, REPLACE(F101, 22, 1, "2"), F101)</f>
        <v xml:space="preserve">  MOV WORD PTR [BP],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[BP], </v>
      </c>
      <c r="G101" s="63" cm="1">
        <f t="array" aca="1" ref="G101" ca="1">randNrBetweenWithException(-6, 2, G99, G100)</f>
        <v>0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74"/>
      <c r="C102" s="57" t="str">
        <f ca="1">_xlfn.CONCAT(F102, E123)</f>
        <v xml:space="preserve">  MOV BYTE PTR [BP - 2], 4Fh</v>
      </c>
      <c r="D102" s="10"/>
      <c r="E102" s="64" t="str">
        <f ca="1">IF(F102 = E99, REPLACE(F102, 22, 1, "2"), F102)</f>
        <v xml:space="preserve">  MOV BYTE PTR [BP - 2],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- 2], </v>
      </c>
      <c r="G102" s="62" cm="1">
        <f t="array" aca="1" ref="G102" ca="1">randNrBetweenWithException(-7, 3, G99, G100, G101)</f>
        <v>-2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74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74"/>
      <c r="C104" s="57" t="s">
        <v>181</v>
      </c>
      <c r="D104" s="10"/>
    </row>
    <row r="105" spans="1:11" ht="17.100000000000001" customHeight="1" thickBot="1" x14ac:dyDescent="0.3">
      <c r="A105" s="9"/>
      <c r="B105" s="74"/>
      <c r="C105" s="57" t="s">
        <v>169</v>
      </c>
      <c r="D105" s="10"/>
    </row>
    <row r="106" spans="1:11" ht="17.100000000000001" customHeight="1" thickBot="1" x14ac:dyDescent="0.3">
      <c r="A106" s="9"/>
      <c r="B106" s="74"/>
      <c r="C106" s="57" t="s">
        <v>170</v>
      </c>
      <c r="D106" s="10"/>
    </row>
    <row r="107" spans="1:11" ht="17.100000000000001" customHeight="1" thickBot="1" x14ac:dyDescent="0.3">
      <c r="A107" s="9"/>
      <c r="B107" s="74"/>
      <c r="C107" s="57" t="s">
        <v>36</v>
      </c>
      <c r="D107" s="10"/>
    </row>
    <row r="108" spans="1:11" ht="17.100000000000001" customHeight="1" thickBot="1" x14ac:dyDescent="0.3">
      <c r="A108" s="9"/>
      <c r="B108" s="74"/>
      <c r="C108" s="57" t="s">
        <v>35</v>
      </c>
      <c r="D108" s="10"/>
    </row>
    <row r="109" spans="1:11" ht="17.100000000000001" customHeight="1" thickBot="1" x14ac:dyDescent="0.3">
      <c r="A109" s="9"/>
      <c r="B109" s="80">
        <v>30</v>
      </c>
      <c r="C109" s="57" t="s">
        <v>46</v>
      </c>
      <c r="D109" s="10"/>
    </row>
    <row r="110" spans="1:11" ht="16.5" thickBot="1" x14ac:dyDescent="0.3">
      <c r="A110" s="9"/>
      <c r="B110" s="81"/>
      <c r="C110" s="57" t="s">
        <v>47</v>
      </c>
      <c r="D110" s="10"/>
    </row>
    <row r="111" spans="1:11" ht="16.5" thickBot="1" x14ac:dyDescent="0.3">
      <c r="A111" s="3"/>
      <c r="B111" s="82"/>
      <c r="C111" s="57" t="s">
        <v>48</v>
      </c>
      <c r="D111" s="10"/>
    </row>
    <row r="112" spans="1:11" ht="16.5" thickBot="1" x14ac:dyDescent="0.3">
      <c r="A112" s="1"/>
      <c r="B112" s="73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233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0E9h</v>
      </c>
    </row>
    <row r="119" spans="1:5" x14ac:dyDescent="0.25">
      <c r="C119" s="39" t="s">
        <v>103</v>
      </c>
    </row>
    <row r="120" spans="1:5" x14ac:dyDescent="0.25">
      <c r="C120">
        <f ca="1">RANDBETWEEN(1,255)</f>
        <v>74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4Ah</v>
      </c>
    </row>
    <row r="121" spans="1:5" x14ac:dyDescent="0.25">
      <c r="C121">
        <f ca="1">RANDBETWEEN(1,255)</f>
        <v>109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6Dh</v>
      </c>
    </row>
    <row r="122" spans="1:5" x14ac:dyDescent="0.25">
      <c r="C122">
        <f ca="1">RANDBETWEEN(1,255)</f>
        <v>127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7Fh</v>
      </c>
    </row>
    <row r="123" spans="1:5" x14ac:dyDescent="0.25">
      <c r="C123">
        <f ca="1">RANDBETWEEN(1,255)</f>
        <v>79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4Fh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55268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0D7E4h</v>
      </c>
    </row>
    <row r="126" spans="1:5" x14ac:dyDescent="0.25">
      <c r="C126">
        <f ca="1">RANDBETWEEN(0, 65535)</f>
        <v>38026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948Ah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48231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0BC67h</v>
      </c>
    </row>
    <row r="129" spans="3:5" x14ac:dyDescent="0.25">
      <c r="C129">
        <f ca="1">RANDBETWEEN(256, 65535)</f>
        <v>39912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9BE8h</v>
      </c>
    </row>
    <row r="130" spans="3:5" x14ac:dyDescent="0.25">
      <c r="C130">
        <f ca="1">RANDBETWEEN(256, 65535)</f>
        <v>21292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532Ch</v>
      </c>
    </row>
    <row r="131" spans="3:5" x14ac:dyDescent="0.25">
      <c r="C131">
        <f ca="1">RANDBETWEEN(256, 65535)</f>
        <v>61799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0F167h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64301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0FB2Dh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1725966400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66E02840h</v>
      </c>
    </row>
    <row r="136" spans="3:5" x14ac:dyDescent="0.25">
      <c r="C136">
        <f ca="1">RANDBETWEEN(65536, 4294967295)</f>
        <v>3903113913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0E8A4CAB9h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1874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752h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1870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0101010101010101b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5" x14ac:dyDescent="0.25">
      <c r="C161" t="s">
        <v>134</v>
      </c>
    </row>
    <row r="162" spans="3:5" x14ac:dyDescent="0.25">
      <c r="C162" t="str" cm="1">
        <f t="array" aca="1" ref="C162" ca="1">INDEX($C$156:$C$159, RANDBETWEEN(1, COUNTA($C$156:$C$159)), 1)</f>
        <v>ROR</v>
      </c>
    </row>
    <row r="164" spans="3:5" x14ac:dyDescent="0.25">
      <c r="C164" t="s">
        <v>110</v>
      </c>
    </row>
    <row r="165" spans="3:5" x14ac:dyDescent="0.25">
      <c r="C165" t="s">
        <v>111</v>
      </c>
    </row>
    <row r="167" spans="3:5" x14ac:dyDescent="0.25">
      <c r="C167" t="s">
        <v>136</v>
      </c>
    </row>
    <row r="168" spans="3:5" x14ac:dyDescent="0.25">
      <c r="C168" t="s">
        <v>137</v>
      </c>
    </row>
    <row r="169" spans="3:5" x14ac:dyDescent="0.25">
      <c r="C169" t="s">
        <v>138</v>
      </c>
    </row>
    <row r="171" spans="3:5" x14ac:dyDescent="0.25">
      <c r="C171" t="s">
        <v>139</v>
      </c>
    </row>
    <row r="172" spans="3:5" x14ac:dyDescent="0.25">
      <c r="C172" t="str" cm="1">
        <f t="array" aca="1" ref="C172" ca="1">INDEX($C$168:$C$169, RANDBETWEEN(1, COUNTA($C$168:$C$169)), 1)</f>
        <v>near</v>
      </c>
    </row>
    <row r="173" spans="3:5" x14ac:dyDescent="0.25">
      <c r="C173" t="str" cm="1">
        <f t="array" aca="1" ref="C173" ca="1">INDEX($C$168:$C$169, RANDBETWEEN(1, COUNTA($C$168:$C$169)), 1)</f>
        <v>near</v>
      </c>
    </row>
    <row r="174" spans="3:5" x14ac:dyDescent="0.25">
      <c r="E174" s="77"/>
    </row>
    <row r="175" spans="3:5" x14ac:dyDescent="0.25">
      <c r="C175" s="62" t="s">
        <v>187</v>
      </c>
    </row>
    <row r="176" spans="3:5" x14ac:dyDescent="0.25">
      <c r="C176" s="75" t="s">
        <v>195</v>
      </c>
    </row>
    <row r="177" spans="3:3" x14ac:dyDescent="0.25">
      <c r="C177" s="76" t="s">
        <v>188</v>
      </c>
    </row>
    <row r="178" spans="3:3" x14ac:dyDescent="0.25">
      <c r="C178" s="76" t="s">
        <v>197</v>
      </c>
    </row>
    <row r="180" spans="3:3" x14ac:dyDescent="0.25">
      <c r="C180" s="62" t="s">
        <v>189</v>
      </c>
    </row>
    <row r="181" spans="3:3" x14ac:dyDescent="0.25">
      <c r="C181" s="75" t="s">
        <v>196</v>
      </c>
    </row>
    <row r="182" spans="3:3" x14ac:dyDescent="0.25">
      <c r="C182" s="76" t="s">
        <v>190</v>
      </c>
    </row>
    <row r="183" spans="3:3" x14ac:dyDescent="0.25">
      <c r="C183" s="76"/>
    </row>
    <row r="185" spans="3:3" x14ac:dyDescent="0.25">
      <c r="C185" s="62" t="s">
        <v>192</v>
      </c>
    </row>
    <row r="186" spans="3:3" x14ac:dyDescent="0.25">
      <c r="C186" s="78" t="s">
        <v>193</v>
      </c>
    </row>
    <row r="187" spans="3:3" x14ac:dyDescent="0.25">
      <c r="C187" s="76" t="s">
        <v>194</v>
      </c>
    </row>
    <row r="188" spans="3:3" x14ac:dyDescent="0.25">
      <c r="C188" s="76" t="s">
        <v>198</v>
      </c>
    </row>
    <row r="189" spans="3:3" x14ac:dyDescent="0.25">
      <c r="C189" s="76"/>
    </row>
    <row r="190" spans="3:3" x14ac:dyDescent="0.25">
      <c r="C190" t="s">
        <v>191</v>
      </c>
    </row>
    <row r="191" spans="3:3" x14ac:dyDescent="0.25">
      <c r="C191" s="75">
        <f ca="1">RANDBETWEEN(1, 3)</f>
        <v>2</v>
      </c>
    </row>
    <row r="193" spans="3:3" x14ac:dyDescent="0.25">
      <c r="C193" s="62"/>
    </row>
    <row r="194" spans="3:3" x14ac:dyDescent="0.25">
      <c r="C194" s="75"/>
    </row>
    <row r="196" spans="3:3" x14ac:dyDescent="0.25">
      <c r="C196" s="62"/>
    </row>
    <row r="197" spans="3:3" x14ac:dyDescent="0.25">
      <c r="C197" s="75"/>
    </row>
    <row r="198" spans="3:3" x14ac:dyDescent="0.25">
      <c r="C198" s="76"/>
    </row>
    <row r="200" spans="3:3" x14ac:dyDescent="0.25">
      <c r="C200" s="62"/>
    </row>
    <row r="201" spans="3:3" x14ac:dyDescent="0.25">
      <c r="C201" s="75"/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45A6-CB5C-4686-947F-98282916CE61}">
  <sheetPr codeName="Sheet15"/>
  <dimension ref="A1:K173"/>
  <sheetViews>
    <sheetView topLeftCell="A100" zoomScale="85" zoomScaleNormal="85" workbookViewId="0">
      <selection activeCell="C3" sqref="C3:C112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  <c r="E10" t="e" cm="1">
        <f t="array" aca="1" ref="E10" ca="1">ExportRangeAsImage(_xlfn.SHEETS("Sheet2 (14)"), Range("C3:C4"), "D:\test\", "PNG")</f>
        <v>#NAME?</v>
      </c>
    </row>
    <row r="11" spans="1:6" ht="16.5" thickBot="1" x14ac:dyDescent="0.3">
      <c r="A11" s="8"/>
      <c r="B11" s="56">
        <v>1</v>
      </c>
      <c r="C11" s="55" t="str">
        <f ca="1">_xlfn.CONCAT("masca equ ", C153)</f>
        <v>masca equ 1001100110011001b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2030</v>
      </c>
      <c r="D14" s="10"/>
    </row>
    <row r="15" spans="1:6" ht="16.5" customHeight="1" thickBot="1" x14ac:dyDescent="0.3">
      <c r="A15" s="7"/>
      <c r="B15" s="71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79">
        <v>3</v>
      </c>
      <c r="C16" s="57" t="str">
        <f ca="1">_xlfn.CONCAT("  var1 ", E16)</f>
        <v xml:space="preserve">  var1 DB 4Ch</v>
      </c>
      <c r="D16" s="10"/>
      <c r="E16" s="68" t="str">
        <f ca="1">_xlfn.CONCAT("DB ", E120)</f>
        <v>DB 4Ch</v>
      </c>
      <c r="F16" s="67" t="s">
        <v>185</v>
      </c>
    </row>
    <row r="17" spans="1:6" ht="17.100000000000001" customHeight="1" thickBot="1" x14ac:dyDescent="0.3">
      <c r="A17" s="7"/>
      <c r="B17" s="79"/>
      <c r="C17" s="57" t="str">
        <f ca="1">_xlfn.CONCAT("  var2 ", E17)</f>
        <v xml:space="preserve">  var2 DB 97h</v>
      </c>
      <c r="D17" s="10"/>
      <c r="E17" s="68" t="str">
        <f ca="1">_xlfn.CONCAT("DB ", E121)</f>
        <v>DB 97h</v>
      </c>
      <c r="F17" s="67"/>
    </row>
    <row r="18" spans="1:6" ht="17.100000000000001" customHeight="1" thickBot="1" x14ac:dyDescent="0.3">
      <c r="A18" s="7"/>
      <c r="B18" s="79"/>
      <c r="C18" s="57" t="str">
        <f ca="1">_xlfn.CONCAT("  var3 ", E18)</f>
        <v xml:space="preserve">  var3 DW 2E7h</v>
      </c>
      <c r="D18" s="10"/>
      <c r="E18" s="68" t="str">
        <f ca="1">_xlfn.CONCAT("DW ", E128)</f>
        <v>DW 2E7h</v>
      </c>
      <c r="F18" s="67"/>
    </row>
    <row r="19" spans="1:6" ht="17.100000000000001" customHeight="1" thickBot="1" x14ac:dyDescent="0.3">
      <c r="A19" s="7"/>
      <c r="B19" s="79"/>
      <c r="C19" s="57" t="str">
        <f ca="1">_xlfn.CONCAT("  var4 ", E19)</f>
        <v xml:space="preserve">  var4 DD 0E3BBD83Ch</v>
      </c>
      <c r="D19" s="10"/>
      <c r="E19" s="68" t="str">
        <f ca="1">_xlfn.CONCAT("DD ", E136)</f>
        <v>DD 0E3BBD83Ch</v>
      </c>
      <c r="F19" s="67"/>
    </row>
    <row r="20" spans="1:6" ht="17.100000000000001" customHeight="1" thickBot="1" x14ac:dyDescent="0.3">
      <c r="A20" s="7"/>
      <c r="B20" s="79"/>
      <c r="C20" s="57" t="str">
        <f ca="1">_xlfn.CONCAT("  var5 ", E20)</f>
        <v xml:space="preserve">  var5 DW 5FA9h</v>
      </c>
      <c r="D20" s="10"/>
      <c r="E20" s="68" t="str">
        <f ca="1">_xlfn.CONCAT("DW ", E129)</f>
        <v>DW 5FA9h</v>
      </c>
      <c r="F20" s="67"/>
    </row>
    <row r="21" spans="1:6" ht="17.100000000000001" customHeight="1" thickBot="1" x14ac:dyDescent="0.3">
      <c r="A21" s="7"/>
      <c r="B21" s="79"/>
      <c r="C21" s="57" t="str">
        <f ca="1">_xlfn.CONCAT("  var6 ", E21)</f>
        <v xml:space="preserve">  var6 DD 0B7EC9E0h</v>
      </c>
      <c r="D21" s="10"/>
      <c r="E21" s="68" t="str">
        <f ca="1">_xlfn.CONCAT("DD ", E135)</f>
        <v>DD 0B7EC9E0h</v>
      </c>
      <c r="F21" s="67"/>
    </row>
    <row r="22" spans="1:6" ht="17.100000000000001" customHeight="1" thickBot="1" x14ac:dyDescent="0.3">
      <c r="A22" s="7"/>
      <c r="B22" s="79"/>
      <c r="C22" s="57" t="s">
        <v>186</v>
      </c>
      <c r="D22" s="10"/>
    </row>
    <row r="23" spans="1:6" ht="17.100000000000001" customHeight="1" thickBot="1" x14ac:dyDescent="0.3">
      <c r="A23" s="7"/>
      <c r="B23" s="71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71"/>
      <c r="C24" s="57"/>
      <c r="D24" s="10"/>
      <c r="F24" s="68">
        <v>3</v>
      </c>
    </row>
    <row r="25" spans="1:6" ht="17.100000000000001" customHeight="1" thickBot="1" x14ac:dyDescent="0.3">
      <c r="A25" s="7"/>
      <c r="B25" s="71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71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71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71"/>
      <c r="C28" s="57" t="s">
        <v>178</v>
      </c>
      <c r="D28" s="10"/>
    </row>
    <row r="29" spans="1:6" ht="17.100000000000001" customHeight="1" thickBot="1" x14ac:dyDescent="0.3">
      <c r="A29" s="7"/>
      <c r="B29" s="71"/>
      <c r="C29" s="57" t="s">
        <v>176</v>
      </c>
      <c r="D29" s="10"/>
    </row>
    <row r="30" spans="1:6" ht="17.100000000000001" customHeight="1" thickBot="1" x14ac:dyDescent="0.3">
      <c r="A30" s="7"/>
      <c r="B30" s="71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71"/>
      <c r="C31" s="57" t="s">
        <v>116</v>
      </c>
      <c r="D31" s="10"/>
    </row>
    <row r="32" spans="1:6" ht="17.100000000000001" customHeight="1" thickBot="1" x14ac:dyDescent="0.3">
      <c r="A32" s="7"/>
      <c r="B32" s="71"/>
      <c r="C32" s="57" t="s">
        <v>117</v>
      </c>
      <c r="D32" s="10"/>
    </row>
    <row r="33" spans="1:4" ht="17.100000000000001" customHeight="1" thickBot="1" x14ac:dyDescent="0.3">
      <c r="A33" s="7"/>
      <c r="B33" s="71"/>
      <c r="C33" s="57" t="s">
        <v>149</v>
      </c>
      <c r="D33" s="10"/>
    </row>
    <row r="34" spans="1:4" ht="17.100000000000001" customHeight="1" thickBot="1" x14ac:dyDescent="0.3">
      <c r="A34" s="7"/>
      <c r="B34" s="71"/>
      <c r="C34" s="57" t="s">
        <v>175</v>
      </c>
      <c r="D34" s="10"/>
    </row>
    <row r="35" spans="1:4" ht="17.100000000000001" customHeight="1" thickBot="1" x14ac:dyDescent="0.3">
      <c r="A35" s="7"/>
      <c r="B35" s="71"/>
      <c r="C35" s="57" t="s">
        <v>174</v>
      </c>
      <c r="D35" s="10"/>
    </row>
    <row r="36" spans="1:4" ht="17.100000000000001" customHeight="1" thickBot="1" x14ac:dyDescent="0.3">
      <c r="A36" s="7"/>
      <c r="B36" s="71"/>
      <c r="C36" s="57" t="s">
        <v>120</v>
      </c>
      <c r="D36" s="10"/>
    </row>
    <row r="37" spans="1:4" ht="17.100000000000001" customHeight="1" thickBot="1" x14ac:dyDescent="0.3">
      <c r="A37" s="7"/>
      <c r="B37" s="71"/>
      <c r="C37" s="57" t="s">
        <v>121</v>
      </c>
      <c r="D37" s="10"/>
    </row>
    <row r="38" spans="1:4" ht="17.100000000000001" customHeight="1" thickBot="1" x14ac:dyDescent="0.3">
      <c r="A38" s="7"/>
      <c r="B38" s="71"/>
      <c r="C38" s="57" t="s">
        <v>122</v>
      </c>
      <c r="D38" s="10"/>
    </row>
    <row r="39" spans="1:4" ht="17.100000000000001" customHeight="1" thickBot="1" x14ac:dyDescent="0.3">
      <c r="A39" s="7"/>
      <c r="B39" s="71"/>
      <c r="C39" s="57" t="s">
        <v>123</v>
      </c>
      <c r="D39" s="10"/>
    </row>
    <row r="40" spans="1:4" ht="17.100000000000001" customHeight="1" thickBot="1" x14ac:dyDescent="0.3">
      <c r="A40" s="7"/>
      <c r="B40" s="71"/>
      <c r="C40" s="57" t="s">
        <v>124</v>
      </c>
      <c r="D40" s="10"/>
    </row>
    <row r="41" spans="1:4" ht="17.100000000000001" customHeight="1" thickBot="1" x14ac:dyDescent="0.3">
      <c r="A41" s="7"/>
      <c r="B41" s="71"/>
      <c r="C41" s="57" t="s">
        <v>125</v>
      </c>
      <c r="D41" s="10"/>
    </row>
    <row r="42" spans="1:4" ht="17.100000000000001" customHeight="1" thickBot="1" x14ac:dyDescent="0.3">
      <c r="A42" s="7"/>
      <c r="B42" s="71"/>
      <c r="C42" s="57" t="s">
        <v>123</v>
      </c>
      <c r="D42" s="10"/>
    </row>
    <row r="43" spans="1:4" ht="17.100000000000001" customHeight="1" thickBot="1" x14ac:dyDescent="0.3">
      <c r="A43" s="7"/>
      <c r="B43" s="71"/>
      <c r="C43" s="57" t="s">
        <v>126</v>
      </c>
      <c r="D43" s="10"/>
    </row>
    <row r="44" spans="1:4" ht="17.100000000000001" customHeight="1" thickBot="1" x14ac:dyDescent="0.3">
      <c r="A44" s="7"/>
      <c r="B44" s="71"/>
      <c r="C44" s="57" t="s">
        <v>127</v>
      </c>
      <c r="D44" s="10"/>
    </row>
    <row r="45" spans="1:4" ht="17.100000000000001" customHeight="1" thickBot="1" x14ac:dyDescent="0.3">
      <c r="A45" s="7"/>
      <c r="B45" s="71"/>
      <c r="C45" s="57" t="s">
        <v>123</v>
      </c>
      <c r="D45" s="10"/>
    </row>
    <row r="46" spans="1:4" ht="17.100000000000001" customHeight="1" thickBot="1" x14ac:dyDescent="0.3">
      <c r="A46" s="7"/>
      <c r="B46" s="71"/>
      <c r="C46" s="57" t="s">
        <v>128</v>
      </c>
      <c r="D46" s="10"/>
    </row>
    <row r="47" spans="1:4" ht="17.100000000000001" customHeight="1" thickBot="1" x14ac:dyDescent="0.3">
      <c r="A47" s="7"/>
      <c r="B47" s="71"/>
      <c r="C47" s="57" t="s">
        <v>150</v>
      </c>
      <c r="D47" s="10"/>
    </row>
    <row r="48" spans="1:4" ht="17.100000000000001" customHeight="1" thickBot="1" x14ac:dyDescent="0.3">
      <c r="A48" s="7"/>
      <c r="B48" s="71"/>
      <c r="C48" s="57" t="s">
        <v>131</v>
      </c>
      <c r="D48" s="10"/>
    </row>
    <row r="49" spans="1:4" ht="17.100000000000001" customHeight="1" thickBot="1" x14ac:dyDescent="0.3">
      <c r="A49" s="7"/>
      <c r="B49" s="71"/>
      <c r="C49" s="57" t="s">
        <v>129</v>
      </c>
      <c r="D49" s="10"/>
    </row>
    <row r="50" spans="1:4" ht="17.100000000000001" customHeight="1" thickBot="1" x14ac:dyDescent="0.3">
      <c r="A50" s="7"/>
      <c r="B50" s="71"/>
      <c r="C50" s="57" t="s">
        <v>130</v>
      </c>
      <c r="D50" s="10"/>
    </row>
    <row r="51" spans="1:4" ht="17.100000000000001" customHeight="1" thickBot="1" x14ac:dyDescent="0.3">
      <c r="A51" s="7"/>
      <c r="B51" s="71"/>
      <c r="C51" s="57"/>
      <c r="D51" s="10"/>
    </row>
    <row r="52" spans="1:4" ht="17.100000000000001" customHeight="1" thickBot="1" x14ac:dyDescent="0.3">
      <c r="A52" s="7"/>
      <c r="B52" s="71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71"/>
      <c r="C53" s="57" t="s">
        <v>161</v>
      </c>
      <c r="D53" s="10"/>
    </row>
    <row r="54" spans="1:4" ht="17.100000000000001" customHeight="1" thickBot="1" x14ac:dyDescent="0.3">
      <c r="A54" s="7"/>
      <c r="B54" s="71"/>
      <c r="C54" s="57" t="s">
        <v>163</v>
      </c>
      <c r="D54" s="10"/>
    </row>
    <row r="55" spans="1:4" ht="17.100000000000001" customHeight="1" thickBot="1" x14ac:dyDescent="0.3">
      <c r="A55" s="7"/>
      <c r="B55" s="71"/>
      <c r="C55" s="57" t="s">
        <v>162</v>
      </c>
      <c r="D55" s="10"/>
    </row>
    <row r="56" spans="1:4" ht="17.100000000000001" customHeight="1" thickBot="1" x14ac:dyDescent="0.3">
      <c r="A56" s="7"/>
      <c r="B56" s="71"/>
      <c r="C56" s="57"/>
      <c r="D56" s="10"/>
    </row>
    <row r="57" spans="1:4" ht="17.100000000000001" customHeight="1" thickBot="1" x14ac:dyDescent="0.3">
      <c r="A57" s="7"/>
      <c r="B57" s="71"/>
      <c r="C57" s="57" t="s">
        <v>22</v>
      </c>
      <c r="D57" s="10"/>
    </row>
    <row r="58" spans="1:4" ht="17.100000000000001" customHeight="1" thickBot="1" x14ac:dyDescent="0.3">
      <c r="A58" s="7"/>
      <c r="B58" s="80">
        <v>3</v>
      </c>
      <c r="C58" s="57" t="s">
        <v>51</v>
      </c>
      <c r="D58" s="10"/>
    </row>
    <row r="59" spans="1:4" ht="17.100000000000001" customHeight="1" thickBot="1" x14ac:dyDescent="0.3">
      <c r="A59" s="7"/>
      <c r="B59" s="81"/>
      <c r="C59" s="57" t="s">
        <v>49</v>
      </c>
      <c r="D59" s="10"/>
    </row>
    <row r="60" spans="1:4" ht="17.100000000000001" customHeight="1" thickBot="1" x14ac:dyDescent="0.3">
      <c r="A60" s="7"/>
      <c r="B60" s="82"/>
      <c r="C60" s="57" t="s">
        <v>50</v>
      </c>
      <c r="D60" s="10"/>
    </row>
    <row r="61" spans="1:4" ht="17.100000000000001" customHeight="1" thickBot="1" x14ac:dyDescent="0.3">
      <c r="A61" s="7"/>
      <c r="B61" s="71"/>
      <c r="C61" s="57" t="s">
        <v>52</v>
      </c>
      <c r="D61" s="10"/>
    </row>
    <row r="62" spans="1:4" ht="17.100000000000001" customHeight="1" thickBot="1" x14ac:dyDescent="0.3">
      <c r="A62" s="7"/>
      <c r="B62" s="71">
        <v>4</v>
      </c>
      <c r="C62" s="57" t="s">
        <v>132</v>
      </c>
      <c r="D62" s="10"/>
    </row>
    <row r="63" spans="1:4" ht="17.100000000000001" customHeight="1" thickBot="1" x14ac:dyDescent="0.3">
      <c r="A63" s="7"/>
      <c r="B63" s="71">
        <v>5</v>
      </c>
      <c r="C63" s="57" t="str">
        <f ca="1">_xlfn.CONCAT("  mov AX, ", E133)</f>
        <v xml:space="preserve">  mov AX, 0DFD3h</v>
      </c>
      <c r="D63" s="10"/>
    </row>
    <row r="64" spans="1:4" ht="17.100000000000001" customHeight="1" thickBot="1" x14ac:dyDescent="0.3">
      <c r="A64" s="7"/>
      <c r="B64" s="71">
        <v>6</v>
      </c>
      <c r="C64" s="57" t="s">
        <v>71</v>
      </c>
      <c r="D64" s="10"/>
    </row>
    <row r="65" spans="1:4" ht="17.100000000000001" customHeight="1" thickBot="1" x14ac:dyDescent="0.3">
      <c r="A65" s="7"/>
      <c r="B65" s="71">
        <v>7</v>
      </c>
      <c r="C65" s="57" t="s">
        <v>72</v>
      </c>
      <c r="D65" s="10"/>
    </row>
    <row r="66" spans="1:4" ht="17.100000000000001" customHeight="1" thickBot="1" x14ac:dyDescent="0.3">
      <c r="A66" s="7"/>
      <c r="B66" s="71">
        <v>8</v>
      </c>
      <c r="C66" s="57" t="s">
        <v>72</v>
      </c>
      <c r="D66" s="10"/>
    </row>
    <row r="67" spans="1:4" ht="17.100000000000001" customHeight="1" thickBot="1" x14ac:dyDescent="0.3">
      <c r="A67" s="7"/>
      <c r="B67" s="71">
        <v>9</v>
      </c>
      <c r="C67" s="57" t="s">
        <v>73</v>
      </c>
      <c r="D67" s="10"/>
    </row>
    <row r="68" spans="1:4" ht="17.100000000000001" customHeight="1" thickBot="1" x14ac:dyDescent="0.3">
      <c r="A68" s="7"/>
      <c r="B68" s="71">
        <v>10</v>
      </c>
      <c r="C68" s="57" t="str">
        <f ca="1">_xlfn.CONCAT("  MOV DL, BYTE PTR var", RANDBETWEEN(1, 5) )</f>
        <v xml:space="preserve">  MOV DL, BYTE PTR var2</v>
      </c>
      <c r="D68" s="10"/>
    </row>
    <row r="69" spans="1:4" ht="17.100000000000001" customHeight="1" thickBot="1" x14ac:dyDescent="0.3">
      <c r="A69" s="7"/>
      <c r="B69" s="71">
        <v>11</v>
      </c>
      <c r="C69" s="57" t="str">
        <f ca="1">_xlfn.CONCAT( "  MOV DH, BYTE PTR var6 + ", RANDBETWEEN(1, 3) )</f>
        <v xml:space="preserve">  MOV DH, BYTE PTR var6 + 2</v>
      </c>
      <c r="D69" s="10"/>
    </row>
    <row r="70" spans="1:4" ht="17.100000000000001" customHeight="1" thickBot="1" x14ac:dyDescent="0.3">
      <c r="A70" s="7"/>
      <c r="B70" s="71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71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71">
        <v>14</v>
      </c>
      <c r="C72" s="57" t="str">
        <f ca="1">_xlfn.CONCAT( "  MOV CL, ", RANDBETWEEN(1, 3) )</f>
        <v xml:space="preserve">  MOV CL, 3</v>
      </c>
      <c r="D72" s="10"/>
    </row>
    <row r="73" spans="1:4" ht="17.100000000000001" customHeight="1" thickBot="1" x14ac:dyDescent="0.3">
      <c r="A73" s="7"/>
      <c r="B73" s="71">
        <v>15</v>
      </c>
      <c r="C73" s="57" t="str">
        <f ca="1">_xlfn.CONCAT("  ",C162," DX, CL")</f>
        <v xml:space="preserve">  SHR DX, CL</v>
      </c>
      <c r="D73" s="10"/>
    </row>
    <row r="74" spans="1:4" ht="17.100000000000001" customHeight="1" thickBot="1" x14ac:dyDescent="0.3">
      <c r="A74" s="7"/>
      <c r="B74" s="71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71">
        <v>17</v>
      </c>
      <c r="C75" s="57" t="s">
        <v>27</v>
      </c>
      <c r="D75" s="10"/>
    </row>
    <row r="76" spans="1:4" ht="17.100000000000001" customHeight="1" thickBot="1" x14ac:dyDescent="0.3">
      <c r="A76" s="7"/>
      <c r="B76" s="71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71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71"/>
      <c r="C78" s="57" t="s">
        <v>141</v>
      </c>
      <c r="D78" s="10"/>
    </row>
    <row r="79" spans="1:4" ht="17.100000000000001" customHeight="1" thickBot="1" x14ac:dyDescent="0.3">
      <c r="A79" s="7"/>
      <c r="B79" s="71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71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71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71"/>
      <c r="C82" s="57" t="s">
        <v>165</v>
      </c>
      <c r="D82" s="10"/>
    </row>
    <row r="83" spans="1:7" ht="17.100000000000001" customHeight="1" thickBot="1" x14ac:dyDescent="0.3">
      <c r="A83" s="7"/>
      <c r="B83" s="71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71"/>
      <c r="C84" s="57" t="str">
        <f ca="1">_xlfn.CONCAT("  MOV BX, ", (RANDBETWEEN(0, 3) * 4) )</f>
        <v xml:space="preserve">  MOV BX, 0</v>
      </c>
      <c r="D84" s="10"/>
    </row>
    <row r="85" spans="1:7" ht="17.100000000000001" customHeight="1" thickBot="1" x14ac:dyDescent="0.3">
      <c r="A85" s="7"/>
      <c r="B85" s="71"/>
      <c r="C85" s="57" t="s">
        <v>142</v>
      </c>
      <c r="D85" s="10"/>
    </row>
    <row r="86" spans="1:7" ht="17.100000000000001" customHeight="1" thickBot="1" x14ac:dyDescent="0.3">
      <c r="A86" s="7"/>
      <c r="B86" s="71"/>
      <c r="C86" s="57" t="str">
        <f ca="1">IF(E86="  MOV CX, WORD PTR ES:[DI + 0]", "  MOV CX, WORD PTR ES:[DI]", E86)</f>
        <v xml:space="preserve">  MOV CX, WORD PTR ES:[DI + 2]</v>
      </c>
      <c r="D86" s="10"/>
      <c r="E86" s="62" t="str">
        <f ca="1">_xlfn.CONCAT("  MOV CX, WORD PTR ES:[DI + ", RANDBETWEEN(0, 3), "]")</f>
        <v xml:space="preserve">  MOV CX, WORD PTR ES:[DI + 2]</v>
      </c>
      <c r="F86" s="62"/>
      <c r="G86" s="62"/>
    </row>
    <row r="87" spans="1:7" ht="17.100000000000001" customHeight="1" thickBot="1" x14ac:dyDescent="0.3">
      <c r="A87" s="7"/>
      <c r="B87" s="71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71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71">
        <v>25</v>
      </c>
      <c r="C89" s="57" t="str">
        <f ca="1">_xlfn.CONCAT("  MOV BX, ", (RANDBETWEEN(0, 3) * 4) )</f>
        <v xml:space="preserve">  MOV BX, 0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71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71"/>
      <c r="C91" s="57" t="str">
        <f ca="1">IF(E91="  MOV CX, WORD PTR ES:[DI + 0]", "  MOV CX, WORD PTR ES:[DI]", E91)</f>
        <v xml:space="preserve">  MOV CX, WORD PTR ES:[DI + 2]</v>
      </c>
      <c r="D91" s="10"/>
      <c r="E91" s="62" t="str">
        <f ca="1">_xlfn.CONCAT("  MOV CX, WORD PTR ES:[DI + ", RANDBETWEEN(0, 3), "]")</f>
        <v xml:space="preserve">  MOV CX, WORD PTR ES:[DI + 2]</v>
      </c>
      <c r="F91" s="62"/>
      <c r="G91" s="62"/>
    </row>
    <row r="92" spans="1:7" ht="17.100000000000001" customHeight="1" thickBot="1" x14ac:dyDescent="0.3">
      <c r="A92" s="9"/>
      <c r="B92" s="72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72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72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72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72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72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72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72"/>
      <c r="C99" s="57" t="str">
        <f ca="1">_xlfn.CONCAT(E99, E122)</f>
        <v xml:space="preserve">  MOV BYTE PTR [BP + 1], 0D5h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72"/>
      <c r="C100" s="57" t="str">
        <f ca="1">_xlfn.CONCAT("  MOV WORD PTR [BP - ", ABS(G100),"], ", E130)</f>
        <v xml:space="preserve">  MOV WORD PTR [BP - 1], 4E50h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72"/>
      <c r="C101" s="57" t="str">
        <f ca="1">_xlfn.CONCAT(E101, E131)</f>
        <v xml:space="preserve">  MOV WORD PTR [BP - 3], 8159h</v>
      </c>
      <c r="D101" s="10"/>
      <c r="E101" s="64" t="str">
        <f ca="1">IF(F101=E100, REPLACE(F101, 22, 1, "2"), F101)</f>
        <v xml:space="preserve">  MOV WORD PTR [BP - 3],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- 3], </v>
      </c>
      <c r="G101" s="63" cm="1">
        <f t="array" aca="1" ref="G101" ca="1">randNrBetweenWithException(-6, 2, G99, G100)</f>
        <v>-3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72"/>
      <c r="C102" s="57" t="str">
        <f ca="1">_xlfn.CONCAT(F102, E123)</f>
        <v xml:space="preserve">  MOV BYTE PTR [BP - 4], 0BAh</v>
      </c>
      <c r="D102" s="10"/>
      <c r="E102" s="64" t="str">
        <f ca="1">IF(F102 = E99, REPLACE(F102, 22, 1, "2"), F102)</f>
        <v xml:space="preserve">  MOV BYTE PTR [BP - 4],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- 4], </v>
      </c>
      <c r="G102" s="62" cm="1">
        <f t="array" aca="1" ref="G102" ca="1">randNrBetweenWithException(-7, 3, G99, G100, G101)</f>
        <v>-4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72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72"/>
      <c r="C104" s="57" t="s">
        <v>181</v>
      </c>
      <c r="D104" s="10"/>
    </row>
    <row r="105" spans="1:11" ht="17.100000000000001" customHeight="1" thickBot="1" x14ac:dyDescent="0.3">
      <c r="A105" s="9"/>
      <c r="B105" s="72"/>
      <c r="C105" s="57" t="s">
        <v>169</v>
      </c>
      <c r="D105" s="10"/>
    </row>
    <row r="106" spans="1:11" ht="17.100000000000001" customHeight="1" thickBot="1" x14ac:dyDescent="0.3">
      <c r="A106" s="9"/>
      <c r="B106" s="72"/>
      <c r="C106" s="57" t="s">
        <v>170</v>
      </c>
      <c r="D106" s="10"/>
    </row>
    <row r="107" spans="1:11" ht="17.100000000000001" customHeight="1" thickBot="1" x14ac:dyDescent="0.3">
      <c r="A107" s="9"/>
      <c r="B107" s="72"/>
      <c r="C107" s="57" t="s">
        <v>36</v>
      </c>
      <c r="D107" s="10"/>
    </row>
    <row r="108" spans="1:11" ht="17.100000000000001" customHeight="1" thickBot="1" x14ac:dyDescent="0.3">
      <c r="A108" s="9"/>
      <c r="B108" s="72"/>
      <c r="C108" s="57" t="s">
        <v>35</v>
      </c>
      <c r="D108" s="10"/>
    </row>
    <row r="109" spans="1:11" ht="17.100000000000001" customHeight="1" thickBot="1" x14ac:dyDescent="0.3">
      <c r="A109" s="9"/>
      <c r="B109" s="80">
        <v>30</v>
      </c>
      <c r="C109" s="57" t="s">
        <v>46</v>
      </c>
      <c r="D109" s="10"/>
    </row>
    <row r="110" spans="1:11" ht="16.5" thickBot="1" x14ac:dyDescent="0.3">
      <c r="A110" s="9"/>
      <c r="B110" s="81"/>
      <c r="C110" s="57" t="s">
        <v>47</v>
      </c>
      <c r="D110" s="10"/>
    </row>
    <row r="111" spans="1:11" ht="16.5" thickBot="1" x14ac:dyDescent="0.3">
      <c r="A111" s="3"/>
      <c r="B111" s="82"/>
      <c r="C111" s="57" t="s">
        <v>48</v>
      </c>
      <c r="D111" s="10"/>
    </row>
    <row r="112" spans="1:11" ht="16.5" thickBot="1" x14ac:dyDescent="0.3">
      <c r="A112" s="1"/>
      <c r="B112" s="71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20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14h</v>
      </c>
    </row>
    <row r="119" spans="1:5" x14ac:dyDescent="0.25">
      <c r="C119" s="39" t="s">
        <v>103</v>
      </c>
    </row>
    <row r="120" spans="1:5" x14ac:dyDescent="0.25">
      <c r="C120">
        <f ca="1">RANDBETWEEN(1,255)</f>
        <v>76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4Ch</v>
      </c>
    </row>
    <row r="121" spans="1:5" x14ac:dyDescent="0.25">
      <c r="C121">
        <f ca="1">RANDBETWEEN(1,255)</f>
        <v>151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97h</v>
      </c>
    </row>
    <row r="122" spans="1:5" x14ac:dyDescent="0.25">
      <c r="C122">
        <f ca="1">RANDBETWEEN(1,255)</f>
        <v>213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0D5h</v>
      </c>
    </row>
    <row r="123" spans="1:5" x14ac:dyDescent="0.25">
      <c r="C123">
        <f ca="1">RANDBETWEEN(1,255)</f>
        <v>186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0BAh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50811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0C67Bh</v>
      </c>
    </row>
    <row r="126" spans="1:5" x14ac:dyDescent="0.25">
      <c r="C126">
        <f ca="1">RANDBETWEEN(0, 65535)</f>
        <v>17771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456Bh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743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2E7h</v>
      </c>
    </row>
    <row r="129" spans="3:5" x14ac:dyDescent="0.25">
      <c r="C129">
        <f ca="1">RANDBETWEEN(256, 65535)</f>
        <v>24489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5FA9h</v>
      </c>
    </row>
    <row r="130" spans="3:5" x14ac:dyDescent="0.25">
      <c r="C130">
        <f ca="1">RANDBETWEEN(256, 65535)</f>
        <v>20048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4E50h</v>
      </c>
    </row>
    <row r="131" spans="3:5" x14ac:dyDescent="0.25">
      <c r="C131">
        <f ca="1">RANDBETWEEN(256, 65535)</f>
        <v>33113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8159h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57299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0DFD3h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192858592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0B7EC9E0h</v>
      </c>
    </row>
    <row r="136" spans="3:5" x14ac:dyDescent="0.25">
      <c r="C136">
        <f ca="1">RANDBETWEEN(65536, 4294967295)</f>
        <v>3820738620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0E3BBD83Ch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2036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7F4h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2030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1001100110011001b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CF1C-7BAA-4AE6-BFB9-5790A3B632F7}">
  <sheetPr codeName="Sheet14"/>
  <dimension ref="A1:K173"/>
  <sheetViews>
    <sheetView zoomScale="85" zoomScaleNormal="85" workbookViewId="0">
      <selection activeCell="E11" sqref="E1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1010101010101010b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400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79">
        <v>3</v>
      </c>
      <c r="C16" s="57" t="str">
        <f ca="1">_xlfn.CONCAT("  var1 ", E16)</f>
        <v xml:space="preserve">  var1 DD 75706D18h</v>
      </c>
      <c r="D16" s="10"/>
      <c r="E16" s="68" t="str">
        <f ca="1">_xlfn.CONCAT("DD ", E136)</f>
        <v>DD 75706D18h</v>
      </c>
      <c r="F16" s="67" t="s">
        <v>185</v>
      </c>
    </row>
    <row r="17" spans="1:6" ht="17.100000000000001" customHeight="1" thickBot="1" x14ac:dyDescent="0.3">
      <c r="A17" s="7"/>
      <c r="B17" s="79"/>
      <c r="C17" s="57" t="str">
        <f ca="1">_xlfn.CONCAT("  var2 ", E17)</f>
        <v xml:space="preserve">  var2 DW 22A8h</v>
      </c>
      <c r="D17" s="10"/>
      <c r="E17" s="68" t="str">
        <f ca="1">_xlfn.CONCAT("DW ", E128)</f>
        <v>DW 22A8h</v>
      </c>
      <c r="F17" s="67"/>
    </row>
    <row r="18" spans="1:6" ht="17.100000000000001" customHeight="1" thickBot="1" x14ac:dyDescent="0.3">
      <c r="A18" s="7"/>
      <c r="B18" s="79"/>
      <c r="C18" s="57" t="str">
        <f ca="1">_xlfn.CONCAT("  var3 ", E18)</f>
        <v xml:space="preserve">  var3 DB 4Ah</v>
      </c>
      <c r="D18" s="10"/>
      <c r="E18" s="68" t="str">
        <f ca="1">_xlfn.CONCAT("DB ", E121)</f>
        <v>DB 4Ah</v>
      </c>
      <c r="F18" s="67"/>
    </row>
    <row r="19" spans="1:6" ht="17.100000000000001" customHeight="1" thickBot="1" x14ac:dyDescent="0.3">
      <c r="A19" s="7"/>
      <c r="B19" s="79"/>
      <c r="C19" s="57" t="str">
        <f ca="1">_xlfn.CONCAT("  var4 ", E19)</f>
        <v xml:space="preserve">  var4 DW 0F461h</v>
      </c>
      <c r="D19" s="10"/>
      <c r="E19" s="68" t="str">
        <f ca="1">_xlfn.CONCAT("DW ", E129)</f>
        <v>DW 0F461h</v>
      </c>
      <c r="F19" s="67"/>
    </row>
    <row r="20" spans="1:6" ht="17.100000000000001" customHeight="1" thickBot="1" x14ac:dyDescent="0.3">
      <c r="A20" s="7"/>
      <c r="B20" s="79"/>
      <c r="C20" s="57" t="str">
        <f ca="1">_xlfn.CONCAT("  var5 ", E20)</f>
        <v xml:space="preserve">  var5 DB 0FCh</v>
      </c>
      <c r="D20" s="10"/>
      <c r="E20" s="68" t="str">
        <f ca="1">_xlfn.CONCAT("DB ", E120)</f>
        <v>DB 0FCh</v>
      </c>
      <c r="F20" s="67"/>
    </row>
    <row r="21" spans="1:6" ht="17.100000000000001" customHeight="1" thickBot="1" x14ac:dyDescent="0.3">
      <c r="A21" s="7"/>
      <c r="B21" s="79"/>
      <c r="C21" s="57" t="str">
        <f ca="1">_xlfn.CONCAT("  var6 ", E21)</f>
        <v xml:space="preserve">  var6 DD 420065ACh</v>
      </c>
      <c r="D21" s="10"/>
      <c r="E21" s="68" t="str">
        <f ca="1">_xlfn.CONCAT("DD ", E135)</f>
        <v>DD 420065ACh</v>
      </c>
      <c r="F21" s="67"/>
    </row>
    <row r="22" spans="1:6" ht="17.100000000000001" customHeight="1" thickBot="1" x14ac:dyDescent="0.3">
      <c r="A22" s="7"/>
      <c r="B22" s="79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near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80">
        <v>3</v>
      </c>
      <c r="C58" s="57" t="s">
        <v>51</v>
      </c>
      <c r="D58" s="10"/>
    </row>
    <row r="59" spans="1:4" ht="17.100000000000001" customHeight="1" thickBot="1" x14ac:dyDescent="0.3">
      <c r="A59" s="7"/>
      <c r="B59" s="81"/>
      <c r="C59" s="57" t="s">
        <v>49</v>
      </c>
      <c r="D59" s="10"/>
    </row>
    <row r="60" spans="1:4" ht="17.100000000000001" customHeight="1" thickBot="1" x14ac:dyDescent="0.3">
      <c r="A60" s="7"/>
      <c r="B60" s="82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0F2CEh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var4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2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SHL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+ 3]</v>
      </c>
      <c r="D86" s="10"/>
      <c r="E86" s="62" t="str">
        <f ca="1">_xlfn.CONCAT("  MOV CX, WORD PTR ES:[DI + ", RANDBETWEEN(0, 3), "]")</f>
        <v xml:space="preserve">  MOV CX, WORD PTR ES:[DI + 3]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+ 3]</v>
      </c>
      <c r="D91" s="10"/>
      <c r="E91" s="62" t="str">
        <f ca="1">_xlfn.CONCAT("  MOV CX, WORD PTR ES:[DI + ", RANDBETWEEN(0, 3), "]")</f>
        <v xml:space="preserve">  MOV CX, WORD PTR ES:[DI + 3]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1Eh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- 1], 4E42h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+ 2], 0C40Bh</v>
      </c>
      <c r="D101" s="10"/>
      <c r="E101" s="64" t="str">
        <f ca="1">IF(F101=E100, REPLACE(F101, 22, 1, "2"), F101)</f>
        <v xml:space="preserve">  MOV WORD PTR [BP + 2],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+ 2], </v>
      </c>
      <c r="G101" s="63" cm="1">
        <f t="array" aca="1" ref="G101" ca="1">randNrBetweenWithException(-6, 2, G99, G100)</f>
        <v>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- 7], 99h</v>
      </c>
      <c r="D102" s="10"/>
      <c r="E102" s="64" t="str">
        <f ca="1">IF(F102 = E99, REPLACE(F102, 22, 1, "2"), F102)</f>
        <v xml:space="preserve">  MOV BYTE PTR [BP - 7],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- 7], </v>
      </c>
      <c r="G102" s="62" cm="1">
        <f t="array" aca="1" ref="G102" ca="1">randNrBetweenWithException(-7, 3, G99, G100, G101)</f>
        <v>-7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80">
        <v>30</v>
      </c>
      <c r="C109" s="57" t="s">
        <v>46</v>
      </c>
      <c r="D109" s="10"/>
    </row>
    <row r="110" spans="1:11" ht="16.5" thickBot="1" x14ac:dyDescent="0.3">
      <c r="A110" s="9"/>
      <c r="B110" s="81"/>
      <c r="C110" s="57" t="s">
        <v>47</v>
      </c>
      <c r="D110" s="10"/>
    </row>
    <row r="111" spans="1:11" ht="16.5" thickBot="1" x14ac:dyDescent="0.3">
      <c r="A111" s="3"/>
      <c r="B111" s="82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62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3Eh</v>
      </c>
    </row>
    <row r="119" spans="1:5" x14ac:dyDescent="0.25">
      <c r="C119" s="39" t="s">
        <v>103</v>
      </c>
    </row>
    <row r="120" spans="1:5" x14ac:dyDescent="0.25">
      <c r="C120">
        <f ca="1">RANDBETWEEN(1,255)</f>
        <v>252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0FCh</v>
      </c>
    </row>
    <row r="121" spans="1:5" x14ac:dyDescent="0.25">
      <c r="C121">
        <f ca="1">RANDBETWEEN(1,255)</f>
        <v>74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4Ah</v>
      </c>
    </row>
    <row r="122" spans="1:5" x14ac:dyDescent="0.25">
      <c r="C122">
        <f ca="1">RANDBETWEEN(1,255)</f>
        <v>30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1Eh</v>
      </c>
    </row>
    <row r="123" spans="1:5" x14ac:dyDescent="0.25">
      <c r="C123">
        <f ca="1">RANDBETWEEN(1,255)</f>
        <v>153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99h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5481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1569h</v>
      </c>
    </row>
    <row r="126" spans="1:5" x14ac:dyDescent="0.25">
      <c r="C126">
        <f ca="1">RANDBETWEEN(0, 65535)</f>
        <v>44302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0AD0Eh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8872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22A8h</v>
      </c>
    </row>
    <row r="129" spans="3:5" x14ac:dyDescent="0.25">
      <c r="C129">
        <f ca="1">RANDBETWEEN(256, 65535)</f>
        <v>62561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0F461h</v>
      </c>
    </row>
    <row r="130" spans="3:5" x14ac:dyDescent="0.25">
      <c r="C130">
        <f ca="1">RANDBETWEEN(256, 65535)</f>
        <v>20034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4E42h</v>
      </c>
    </row>
    <row r="131" spans="3:5" x14ac:dyDescent="0.25">
      <c r="C131">
        <f ca="1">RANDBETWEEN(256, 65535)</f>
        <v>50187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0C40Bh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62158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0F2CEh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1107322284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420065ACh</v>
      </c>
    </row>
    <row r="136" spans="3:5" x14ac:dyDescent="0.25">
      <c r="C136">
        <f ca="1">RANDBETWEEN(65536, 4294967295)</f>
        <v>1970302232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75706D18h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406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196h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400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1010101010101010b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near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1810-3866-465E-8B3F-B2DACC762F1F}">
  <sheetPr codeName="Sheet13"/>
  <dimension ref="A1:K173"/>
  <sheetViews>
    <sheetView zoomScale="85" zoomScaleNormal="85" workbookViewId="0">
      <selection activeCell="E23" sqref="E2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1001100110011001b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1830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79">
        <v>3</v>
      </c>
      <c r="C16" s="57" t="str">
        <f ca="1">_xlfn.CONCAT("  var1 ", E16)</f>
        <v xml:space="preserve">  var1 DB 0D8h</v>
      </c>
      <c r="D16" s="10"/>
      <c r="E16" s="68" t="str">
        <f ca="1">_xlfn.CONCAT("DB ", E120)</f>
        <v>DB 0D8h</v>
      </c>
      <c r="F16" s="67" t="s">
        <v>185</v>
      </c>
    </row>
    <row r="17" spans="1:6" ht="17.100000000000001" customHeight="1" thickBot="1" x14ac:dyDescent="0.3">
      <c r="A17" s="7"/>
      <c r="B17" s="79"/>
      <c r="C17" s="57" t="str">
        <f ca="1">_xlfn.CONCAT("  var2 ", E17)</f>
        <v xml:space="preserve">  var2 DW 0DDBFh</v>
      </c>
      <c r="D17" s="10"/>
      <c r="E17" s="68" t="str">
        <f ca="1">_xlfn.CONCAT("DW ", E128)</f>
        <v>DW 0DDBFh</v>
      </c>
      <c r="F17" s="67"/>
    </row>
    <row r="18" spans="1:6" ht="17.100000000000001" customHeight="1" thickBot="1" x14ac:dyDescent="0.3">
      <c r="A18" s="7"/>
      <c r="B18" s="79"/>
      <c r="C18" s="57" t="str">
        <f ca="1">_xlfn.CONCAT("  var3 ", E18)</f>
        <v xml:space="preserve">  var3 DB 4Bh</v>
      </c>
      <c r="D18" s="10"/>
      <c r="E18" s="68" t="str">
        <f ca="1">_xlfn.CONCAT("DB ", E121)</f>
        <v>DB 4Bh</v>
      </c>
      <c r="F18" s="67"/>
    </row>
    <row r="19" spans="1:6" ht="17.100000000000001" customHeight="1" thickBot="1" x14ac:dyDescent="0.3">
      <c r="A19" s="7"/>
      <c r="B19" s="79"/>
      <c r="C19" s="57" t="str">
        <f ca="1">_xlfn.CONCAT("  var4 ", E19)</f>
        <v xml:space="preserve">  var4 DW 8666h</v>
      </c>
      <c r="D19" s="10"/>
      <c r="E19" s="68" t="str">
        <f ca="1">_xlfn.CONCAT("DW ", E129)</f>
        <v>DW 8666h</v>
      </c>
      <c r="F19" s="67"/>
    </row>
    <row r="20" spans="1:6" ht="17.100000000000001" customHeight="1" thickBot="1" x14ac:dyDescent="0.3">
      <c r="A20" s="7"/>
      <c r="B20" s="79"/>
      <c r="C20" s="57" t="str">
        <f ca="1">_xlfn.CONCAT("  var5 ", E20)</f>
        <v xml:space="preserve">  var5 DD 221E43A1h</v>
      </c>
      <c r="D20" s="10"/>
      <c r="E20" s="68" t="str">
        <f ca="1">_xlfn.CONCAT("DD ", E136)</f>
        <v>DD 221E43A1h</v>
      </c>
      <c r="F20" s="67"/>
    </row>
    <row r="21" spans="1:6" ht="17.100000000000001" customHeight="1" thickBot="1" x14ac:dyDescent="0.3">
      <c r="A21" s="7"/>
      <c r="B21" s="79"/>
      <c r="C21" s="57" t="str">
        <f ca="1">_xlfn.CONCAT("  var6 ", E21)</f>
        <v xml:space="preserve">  var6 DD 0BE366587h</v>
      </c>
      <c r="D21" s="10"/>
      <c r="E21" s="68" t="str">
        <f ca="1">_xlfn.CONCAT("DD ", E135)</f>
        <v>DD 0BE366587h</v>
      </c>
      <c r="F21" s="67"/>
    </row>
    <row r="22" spans="1:6" ht="17.100000000000001" customHeight="1" thickBot="1" x14ac:dyDescent="0.3">
      <c r="A22" s="7"/>
      <c r="B22" s="79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near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80">
        <v>3</v>
      </c>
      <c r="C58" s="57" t="s">
        <v>51</v>
      </c>
      <c r="D58" s="10"/>
    </row>
    <row r="59" spans="1:4" ht="17.100000000000001" customHeight="1" thickBot="1" x14ac:dyDescent="0.3">
      <c r="A59" s="7"/>
      <c r="B59" s="81"/>
      <c r="C59" s="57" t="s">
        <v>49</v>
      </c>
      <c r="D59" s="10"/>
    </row>
    <row r="60" spans="1:4" ht="17.100000000000001" customHeight="1" thickBot="1" x14ac:dyDescent="0.3">
      <c r="A60" s="7"/>
      <c r="B60" s="82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4853h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var4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+ 1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1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ROR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0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+ 2]</v>
      </c>
      <c r="D86" s="10"/>
      <c r="E86" s="62" t="str">
        <f ca="1">_xlfn.CONCAT("  MOV CX, WORD PTR ES:[DI + ", RANDBETWEEN(0, 3), "]")</f>
        <v xml:space="preserve">  MOV CX, WORD PTR ES:[DI + 2]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4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+ 1]</v>
      </c>
      <c r="D91" s="10"/>
      <c r="E91" s="62" t="str">
        <f ca="1">_xlfn.CONCAT("  MOV CX, WORD PTR ES:[DI + ", RANDBETWEEN(0, 3), "]")</f>
        <v xml:space="preserve">  MOV CX, WORD PTR ES:[DI + 1]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2Fh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- 3], 0A6A8h</v>
      </c>
      <c r="D100" s="10"/>
      <c r="E100" s="64" t="str">
        <f ca="1">_xlfn.CONCAT("  MOV WORD PTR [BP - ", G100,"], ")</f>
        <v xml:space="preserve">  MOV WORD PTR [BP - -3],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randNrBetweenWithException(-3, -1, -2)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- 6], 488Ch</v>
      </c>
      <c r="D101" s="10"/>
      <c r="E101" s="64" t="str">
        <f ca="1">IF(F101=E100, REPLACE(F101, 22, 1, "2"), F101)</f>
        <v xml:space="preserve">  MOV WORD PTR [BP - 6],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- 6], </v>
      </c>
      <c r="G101" s="63" cm="1">
        <f t="array" aca="1" ref="G101" ca="1">randNrBetweenWithException(-6, 2, G99, G100)</f>
        <v>-6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+ 3], 97h</v>
      </c>
      <c r="D102" s="10"/>
      <c r="E102" s="64" t="str">
        <f ca="1">IF(F102 = E99, REPLACE(F102, 22, 1, "2"), F102)</f>
        <v xml:space="preserve">  MOV BYTE PTR [BP + 3],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+ 3], </v>
      </c>
      <c r="G102" s="62" cm="1">
        <f t="array" aca="1" ref="G102" ca="1">randNrBetweenWithException(-7, 3, G99, G100, G101)</f>
        <v>3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80">
        <v>30</v>
      </c>
      <c r="C109" s="57" t="s">
        <v>46</v>
      </c>
      <c r="D109" s="10"/>
    </row>
    <row r="110" spans="1:11" ht="16.5" thickBot="1" x14ac:dyDescent="0.3">
      <c r="A110" s="9"/>
      <c r="B110" s="81"/>
      <c r="C110" s="57" t="s">
        <v>47</v>
      </c>
      <c r="D110" s="10"/>
    </row>
    <row r="111" spans="1:11" ht="16.5" thickBot="1" x14ac:dyDescent="0.3">
      <c r="A111" s="3"/>
      <c r="B111" s="82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194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0C2h</v>
      </c>
    </row>
    <row r="119" spans="1:5" x14ac:dyDescent="0.25">
      <c r="C119" s="39" t="s">
        <v>103</v>
      </c>
    </row>
    <row r="120" spans="1:5" x14ac:dyDescent="0.25">
      <c r="C120">
        <f ca="1">RANDBETWEEN(1,255)</f>
        <v>216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0D8h</v>
      </c>
    </row>
    <row r="121" spans="1:5" x14ac:dyDescent="0.25">
      <c r="C121">
        <f ca="1">RANDBETWEEN(1,255)</f>
        <v>75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4Bh</v>
      </c>
    </row>
    <row r="122" spans="1:5" x14ac:dyDescent="0.25">
      <c r="C122">
        <f ca="1">RANDBETWEEN(1,255)</f>
        <v>47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2Fh</v>
      </c>
    </row>
    <row r="123" spans="1:5" x14ac:dyDescent="0.25">
      <c r="C123">
        <f ca="1">RANDBETWEEN(1,255)</f>
        <v>151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97h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65309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0FF1Dh</v>
      </c>
    </row>
    <row r="126" spans="1:5" x14ac:dyDescent="0.25">
      <c r="C126">
        <f ca="1">RANDBETWEEN(0, 65535)</f>
        <v>63233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0F701h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56767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0DDBFh</v>
      </c>
    </row>
    <row r="129" spans="3:5" x14ac:dyDescent="0.25">
      <c r="C129">
        <f ca="1">RANDBETWEEN(256, 65535)</f>
        <v>34406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8666h</v>
      </c>
    </row>
    <row r="130" spans="3:5" x14ac:dyDescent="0.25">
      <c r="C130">
        <f ca="1">RANDBETWEEN(256, 65535)</f>
        <v>42664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0A6A8h</v>
      </c>
    </row>
    <row r="131" spans="3:5" x14ac:dyDescent="0.25">
      <c r="C131">
        <f ca="1">RANDBETWEEN(256, 65535)</f>
        <v>18572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488Ch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18515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4853h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3191235975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0BE366587h</v>
      </c>
    </row>
    <row r="136" spans="3:5" x14ac:dyDescent="0.25">
      <c r="C136">
        <f ca="1">RANDBETWEEN(65536, 4294967295)</f>
        <v>572408737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221E43A1h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1832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728h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1830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1001100110011001b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near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8EC2-1527-46E3-921B-EA341A0D84D8}">
  <sheetPr codeName="Sheet12"/>
  <dimension ref="A1:K171"/>
  <sheetViews>
    <sheetView topLeftCell="B1" zoomScale="85" zoomScaleNormal="85" workbookViewId="0">
      <selection activeCell="E33" sqref="E3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8"/>
      <c r="B3" s="56"/>
      <c r="C3" s="57" t="s">
        <v>38</v>
      </c>
      <c r="D3" s="10"/>
    </row>
    <row r="4" spans="1:6" ht="16.5" thickBot="1" x14ac:dyDescent="0.3">
      <c r="A4" s="8"/>
      <c r="B4" s="56"/>
      <c r="C4" s="57" t="s">
        <v>40</v>
      </c>
      <c r="D4" s="10"/>
    </row>
    <row r="5" spans="1:6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C151)</f>
        <v>masca equ 1111001111110011b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C138)</f>
        <v>.stack 610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79">
        <v>3</v>
      </c>
      <c r="C16" s="57" t="str">
        <f ca="1">_xlfn.CONCAT("  var1 ", E16)</f>
        <v xml:space="preserve">  var1 DW 0E657h</v>
      </c>
      <c r="D16" s="10"/>
      <c r="E16" t="str">
        <f ca="1">_xlfn.CONCAT("DW ", E127)</f>
        <v>DW 0E657h</v>
      </c>
      <c r="F16" s="67" t="s">
        <v>185</v>
      </c>
    </row>
    <row r="17" spans="1:6" ht="17.100000000000001" customHeight="1" thickBot="1" x14ac:dyDescent="0.3">
      <c r="A17" s="7"/>
      <c r="B17" s="79"/>
      <c r="C17" s="57" t="str">
        <f ca="1">_xlfn.CONCAT("  var2 ", E17)</f>
        <v xml:space="preserve">  var2 DW 21EDh</v>
      </c>
      <c r="D17" s="10"/>
      <c r="E17" t="str">
        <f ca="1">_xlfn.CONCAT("DW ", E128)</f>
        <v>DW 21EDh</v>
      </c>
      <c r="F17" s="67"/>
    </row>
    <row r="18" spans="1:6" ht="17.100000000000001" customHeight="1" thickBot="1" x14ac:dyDescent="0.3">
      <c r="A18" s="7"/>
      <c r="B18" s="79"/>
      <c r="C18" s="57" t="str">
        <f ca="1">_xlfn.CONCAT("  var3 ", E18)</f>
        <v xml:space="preserve">  var3 DB 46h</v>
      </c>
      <c r="D18" s="10"/>
      <c r="E18" t="str">
        <f ca="1">_xlfn.CONCAT("DB ", E119)</f>
        <v>DB 46h</v>
      </c>
      <c r="F18" s="67"/>
    </row>
    <row r="19" spans="1:6" ht="17.100000000000001" customHeight="1" thickBot="1" x14ac:dyDescent="0.3">
      <c r="A19" s="7"/>
      <c r="B19" s="79"/>
      <c r="C19" s="57" t="str">
        <f ca="1">_xlfn.CONCAT("  var4 ", E19)</f>
        <v xml:space="preserve">  var4 DB 25h</v>
      </c>
      <c r="D19" s="10"/>
      <c r="E19" t="str">
        <f ca="1">_xlfn.CONCAT("DB ", E120)</f>
        <v>DB 25h</v>
      </c>
      <c r="F19" s="67"/>
    </row>
    <row r="20" spans="1:6" ht="17.100000000000001" customHeight="1" thickBot="1" x14ac:dyDescent="0.3">
      <c r="A20" s="7"/>
      <c r="B20" s="79"/>
      <c r="C20" s="57" t="str">
        <f ca="1">_xlfn.CONCAT("  var5 ", E20)</f>
        <v xml:space="preserve">  var5 DD 6BEB13C0h</v>
      </c>
      <c r="D20" s="10"/>
      <c r="E20" t="str">
        <f ca="1">_xlfn.CONCAT("DD ", E134)</f>
        <v>DD 6BEB13C0h</v>
      </c>
      <c r="F20" s="67"/>
    </row>
    <row r="21" spans="1:6" ht="17.100000000000001" customHeight="1" thickBot="1" x14ac:dyDescent="0.3">
      <c r="A21" s="7"/>
      <c r="B21" s="79"/>
      <c r="C21" s="57" t="s">
        <v>166</v>
      </c>
      <c r="D21" s="10"/>
    </row>
    <row r="22" spans="1:6" ht="17.100000000000001" customHeight="1" thickBot="1" x14ac:dyDescent="0.3">
      <c r="A22" s="7"/>
      <c r="B22" s="65"/>
      <c r="C22" s="57" t="s">
        <v>21</v>
      </c>
      <c r="D22" s="10"/>
    </row>
    <row r="23" spans="1:6" ht="17.100000000000001" customHeight="1" thickBot="1" x14ac:dyDescent="0.3">
      <c r="A23" s="7"/>
      <c r="B23" s="65"/>
      <c r="C23" s="57"/>
      <c r="D23" s="10"/>
    </row>
    <row r="24" spans="1:6" ht="17.100000000000001" customHeight="1" thickBot="1" x14ac:dyDescent="0.3">
      <c r="A24" s="7"/>
      <c r="B24" s="65"/>
      <c r="C24" s="57" t="s">
        <v>171</v>
      </c>
      <c r="D24" s="10"/>
    </row>
    <row r="25" spans="1:6" ht="17.100000000000001" customHeight="1" thickBot="1" x14ac:dyDescent="0.3">
      <c r="A25" s="7"/>
      <c r="B25" s="65"/>
      <c r="C25" s="57" t="s">
        <v>179</v>
      </c>
      <c r="D25" s="10"/>
    </row>
    <row r="26" spans="1:6" ht="17.100000000000001" customHeight="1" thickBot="1" x14ac:dyDescent="0.3">
      <c r="A26" s="7"/>
      <c r="B26" s="65"/>
      <c r="C26" s="57" t="s">
        <v>177</v>
      </c>
      <c r="D26" s="10"/>
    </row>
    <row r="27" spans="1:6" ht="17.100000000000001" customHeight="1" thickBot="1" x14ac:dyDescent="0.3">
      <c r="A27" s="7"/>
      <c r="B27" s="65"/>
      <c r="C27" s="57" t="s">
        <v>178</v>
      </c>
      <c r="D27" s="10"/>
    </row>
    <row r="28" spans="1:6" ht="17.100000000000001" customHeight="1" thickBot="1" x14ac:dyDescent="0.3">
      <c r="A28" s="7"/>
      <c r="B28" s="65"/>
      <c r="C28" s="57" t="s">
        <v>176</v>
      </c>
      <c r="D28" s="10"/>
    </row>
    <row r="29" spans="1:6" ht="17.100000000000001" customHeight="1" thickBot="1" x14ac:dyDescent="0.3">
      <c r="A29" s="7"/>
      <c r="B29" s="65"/>
      <c r="C29" s="57" t="str">
        <f ca="1">_xlfn.CONCAT("proc compNr ", C170)</f>
        <v>proc compNr near</v>
      </c>
      <c r="D29" s="10"/>
    </row>
    <row r="30" spans="1:6" ht="17.100000000000001" customHeight="1" thickBot="1" x14ac:dyDescent="0.3">
      <c r="A30" s="7"/>
      <c r="B30" s="65"/>
      <c r="C30" s="57" t="s">
        <v>116</v>
      </c>
      <c r="D30" s="10"/>
    </row>
    <row r="31" spans="1:6" ht="17.100000000000001" customHeight="1" thickBot="1" x14ac:dyDescent="0.3">
      <c r="A31" s="7"/>
      <c r="B31" s="65"/>
      <c r="C31" s="57" t="s">
        <v>117</v>
      </c>
      <c r="D31" s="10"/>
    </row>
    <row r="32" spans="1:6" ht="17.100000000000001" customHeight="1" thickBot="1" x14ac:dyDescent="0.3">
      <c r="A32" s="7"/>
      <c r="B32" s="65"/>
      <c r="C32" s="57" t="s">
        <v>149</v>
      </c>
      <c r="D32" s="10"/>
    </row>
    <row r="33" spans="1:4" ht="17.100000000000001" customHeight="1" thickBot="1" x14ac:dyDescent="0.3">
      <c r="A33" s="7"/>
      <c r="B33" s="65"/>
      <c r="C33" s="57" t="s">
        <v>175</v>
      </c>
      <c r="D33" s="10"/>
    </row>
    <row r="34" spans="1:4" ht="17.100000000000001" customHeight="1" thickBot="1" x14ac:dyDescent="0.3">
      <c r="A34" s="7"/>
      <c r="B34" s="65"/>
      <c r="C34" s="57" t="s">
        <v>174</v>
      </c>
      <c r="D34" s="10"/>
    </row>
    <row r="35" spans="1:4" ht="17.100000000000001" customHeight="1" thickBot="1" x14ac:dyDescent="0.3">
      <c r="A35" s="7"/>
      <c r="B35" s="65"/>
      <c r="C35" s="57" t="s">
        <v>120</v>
      </c>
      <c r="D35" s="10"/>
    </row>
    <row r="36" spans="1:4" ht="17.100000000000001" customHeight="1" thickBot="1" x14ac:dyDescent="0.3">
      <c r="A36" s="7"/>
      <c r="B36" s="65"/>
      <c r="C36" s="57" t="s">
        <v>121</v>
      </c>
      <c r="D36" s="10"/>
    </row>
    <row r="37" spans="1:4" ht="17.100000000000001" customHeight="1" thickBot="1" x14ac:dyDescent="0.3">
      <c r="A37" s="7"/>
      <c r="B37" s="65"/>
      <c r="C37" s="57" t="s">
        <v>122</v>
      </c>
      <c r="D37" s="10"/>
    </row>
    <row r="38" spans="1:4" ht="17.100000000000001" customHeight="1" thickBot="1" x14ac:dyDescent="0.3">
      <c r="A38" s="7"/>
      <c r="B38" s="65"/>
      <c r="C38" s="57" t="s">
        <v>123</v>
      </c>
      <c r="D38" s="10"/>
    </row>
    <row r="39" spans="1:4" ht="17.100000000000001" customHeight="1" thickBot="1" x14ac:dyDescent="0.3">
      <c r="A39" s="7"/>
      <c r="B39" s="65"/>
      <c r="C39" s="57" t="s">
        <v>124</v>
      </c>
      <c r="D39" s="10"/>
    </row>
    <row r="40" spans="1:4" ht="17.100000000000001" customHeight="1" thickBot="1" x14ac:dyDescent="0.3">
      <c r="A40" s="7"/>
      <c r="B40" s="65"/>
      <c r="C40" s="57" t="s">
        <v>125</v>
      </c>
      <c r="D40" s="10"/>
    </row>
    <row r="41" spans="1:4" ht="17.100000000000001" customHeight="1" thickBot="1" x14ac:dyDescent="0.3">
      <c r="A41" s="7"/>
      <c r="B41" s="65"/>
      <c r="C41" s="57" t="s">
        <v>123</v>
      </c>
      <c r="D41" s="10"/>
    </row>
    <row r="42" spans="1:4" ht="17.100000000000001" customHeight="1" thickBot="1" x14ac:dyDescent="0.3">
      <c r="A42" s="7"/>
      <c r="B42" s="65"/>
      <c r="C42" s="57" t="s">
        <v>126</v>
      </c>
      <c r="D42" s="10"/>
    </row>
    <row r="43" spans="1:4" ht="17.100000000000001" customHeight="1" thickBot="1" x14ac:dyDescent="0.3">
      <c r="A43" s="7"/>
      <c r="B43" s="65"/>
      <c r="C43" s="57" t="s">
        <v>127</v>
      </c>
      <c r="D43" s="10"/>
    </row>
    <row r="44" spans="1:4" ht="17.100000000000001" customHeight="1" thickBot="1" x14ac:dyDescent="0.3">
      <c r="A44" s="7"/>
      <c r="B44" s="65"/>
      <c r="C44" s="57" t="s">
        <v>123</v>
      </c>
      <c r="D44" s="10"/>
    </row>
    <row r="45" spans="1:4" ht="17.100000000000001" customHeight="1" thickBot="1" x14ac:dyDescent="0.3">
      <c r="A45" s="7"/>
      <c r="B45" s="65"/>
      <c r="C45" s="57" t="s">
        <v>128</v>
      </c>
      <c r="D45" s="10"/>
    </row>
    <row r="46" spans="1:4" ht="17.100000000000001" customHeight="1" thickBot="1" x14ac:dyDescent="0.3">
      <c r="A46" s="7"/>
      <c r="B46" s="65"/>
      <c r="C46" s="57" t="s">
        <v>150</v>
      </c>
      <c r="D46" s="10"/>
    </row>
    <row r="47" spans="1:4" ht="17.100000000000001" customHeight="1" thickBot="1" x14ac:dyDescent="0.3">
      <c r="A47" s="7"/>
      <c r="B47" s="65"/>
      <c r="C47" s="57" t="s">
        <v>131</v>
      </c>
      <c r="D47" s="10"/>
    </row>
    <row r="48" spans="1:4" ht="17.100000000000001" customHeight="1" thickBot="1" x14ac:dyDescent="0.3">
      <c r="A48" s="7"/>
      <c r="B48" s="65"/>
      <c r="C48" s="57" t="s">
        <v>129</v>
      </c>
      <c r="D48" s="10"/>
    </row>
    <row r="49" spans="1:4" ht="17.100000000000001" customHeight="1" thickBot="1" x14ac:dyDescent="0.3">
      <c r="A49" s="7"/>
      <c r="B49" s="65"/>
      <c r="C49" s="57" t="s">
        <v>130</v>
      </c>
      <c r="D49" s="10"/>
    </row>
    <row r="50" spans="1:4" ht="17.100000000000001" customHeight="1" thickBot="1" x14ac:dyDescent="0.3">
      <c r="A50" s="7"/>
      <c r="B50" s="65"/>
      <c r="C50" s="57"/>
      <c r="D50" s="10"/>
    </row>
    <row r="51" spans="1:4" ht="17.100000000000001" customHeight="1" thickBot="1" x14ac:dyDescent="0.3">
      <c r="A51" s="7"/>
      <c r="B51" s="65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5"/>
      <c r="C52" s="57" t="s">
        <v>161</v>
      </c>
      <c r="D52" s="10"/>
    </row>
    <row r="53" spans="1:4" ht="17.100000000000001" customHeight="1" thickBot="1" x14ac:dyDescent="0.3">
      <c r="A53" s="7"/>
      <c r="B53" s="65"/>
      <c r="C53" s="57" t="s">
        <v>163</v>
      </c>
      <c r="D53" s="10"/>
    </row>
    <row r="54" spans="1:4" ht="17.100000000000001" customHeight="1" thickBot="1" x14ac:dyDescent="0.3">
      <c r="A54" s="7"/>
      <c r="B54" s="65"/>
      <c r="C54" s="57" t="s">
        <v>162</v>
      </c>
      <c r="D54" s="10"/>
    </row>
    <row r="55" spans="1:4" ht="17.100000000000001" customHeight="1" thickBot="1" x14ac:dyDescent="0.3">
      <c r="A55" s="7"/>
      <c r="B55" s="65"/>
      <c r="C55" s="57"/>
      <c r="D55" s="10"/>
    </row>
    <row r="56" spans="1:4" ht="17.100000000000001" customHeight="1" thickBot="1" x14ac:dyDescent="0.3">
      <c r="A56" s="7"/>
      <c r="B56" s="65"/>
      <c r="C56" s="57" t="s">
        <v>22</v>
      </c>
      <c r="D56" s="10"/>
    </row>
    <row r="57" spans="1:4" ht="17.100000000000001" customHeight="1" thickBot="1" x14ac:dyDescent="0.3">
      <c r="A57" s="7"/>
      <c r="B57" s="80">
        <v>3</v>
      </c>
      <c r="C57" s="57" t="s">
        <v>51</v>
      </c>
      <c r="D57" s="10"/>
    </row>
    <row r="58" spans="1:4" ht="17.100000000000001" customHeight="1" thickBot="1" x14ac:dyDescent="0.3">
      <c r="A58" s="7"/>
      <c r="B58" s="81"/>
      <c r="C58" s="57" t="s">
        <v>49</v>
      </c>
      <c r="D58" s="10"/>
    </row>
    <row r="59" spans="1:4" ht="17.100000000000001" customHeight="1" thickBot="1" x14ac:dyDescent="0.3">
      <c r="A59" s="7"/>
      <c r="B59" s="82"/>
      <c r="C59" s="57" t="s">
        <v>50</v>
      </c>
      <c r="D59" s="10"/>
    </row>
    <row r="60" spans="1:4" ht="17.100000000000001" customHeight="1" thickBot="1" x14ac:dyDescent="0.3">
      <c r="A60" s="7"/>
      <c r="B60" s="65"/>
      <c r="C60" s="57" t="s">
        <v>52</v>
      </c>
      <c r="D60" s="10"/>
    </row>
    <row r="61" spans="1:4" ht="17.100000000000001" customHeight="1" thickBot="1" x14ac:dyDescent="0.3">
      <c r="A61" s="7"/>
      <c r="B61" s="65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5">
        <v>5</v>
      </c>
      <c r="C62" s="57" t="str">
        <f ca="1">_xlfn.CONCAT("  mov AX, ", E132)</f>
        <v xml:space="preserve">  mov AX, 0BBFCh</v>
      </c>
      <c r="D62" s="10"/>
    </row>
    <row r="63" spans="1:4" ht="17.100000000000001" customHeight="1" thickBot="1" x14ac:dyDescent="0.3">
      <c r="A63" s="7"/>
      <c r="B63" s="65">
        <v>6</v>
      </c>
      <c r="C63" s="57" t="s">
        <v>71</v>
      </c>
      <c r="D63" s="10"/>
    </row>
    <row r="64" spans="1:4" ht="17.100000000000001" customHeight="1" thickBot="1" x14ac:dyDescent="0.3">
      <c r="A64" s="7"/>
      <c r="B64" s="65">
        <v>7</v>
      </c>
      <c r="C64" s="57" t="s">
        <v>72</v>
      </c>
      <c r="D64" s="10"/>
    </row>
    <row r="65" spans="1:4" ht="17.100000000000001" customHeight="1" thickBot="1" x14ac:dyDescent="0.3">
      <c r="A65" s="7"/>
      <c r="B65" s="65">
        <v>8</v>
      </c>
      <c r="C65" s="57" t="s">
        <v>72</v>
      </c>
      <c r="D65" s="10"/>
    </row>
    <row r="66" spans="1:4" ht="17.100000000000001" customHeight="1" thickBot="1" x14ac:dyDescent="0.3">
      <c r="A66" s="7"/>
      <c r="B66" s="65">
        <v>9</v>
      </c>
      <c r="C66" s="57" t="s">
        <v>73</v>
      </c>
      <c r="D66" s="10"/>
    </row>
    <row r="67" spans="1:4" ht="17.100000000000001" customHeight="1" thickBot="1" x14ac:dyDescent="0.3">
      <c r="A67" s="7"/>
      <c r="B67" s="65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5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65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5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5">
        <v>14</v>
      </c>
      <c r="C71" s="57" t="str">
        <f ca="1">_xlfn.CONCAT( "  MOV CL, ", RANDBETWEEN(1, 3) )</f>
        <v xml:space="preserve">  MOV CL, 2</v>
      </c>
      <c r="D71" s="10"/>
    </row>
    <row r="72" spans="1:4" ht="17.100000000000001" customHeight="1" thickBot="1" x14ac:dyDescent="0.3">
      <c r="A72" s="7"/>
      <c r="B72" s="65">
        <v>15</v>
      </c>
      <c r="C72" s="57" t="str">
        <f ca="1">_xlfn.CONCAT("  ",C160," DX, CL")</f>
        <v xml:space="preserve">  SHL DX, CL</v>
      </c>
      <c r="D72" s="10"/>
    </row>
    <row r="73" spans="1:4" ht="17.100000000000001" customHeight="1" thickBot="1" x14ac:dyDescent="0.3">
      <c r="A73" s="7"/>
      <c r="B73" s="65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5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5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5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5"/>
      <c r="C77" s="57" t="s">
        <v>141</v>
      </c>
      <c r="D77" s="10"/>
    </row>
    <row r="78" spans="1:4" ht="17.100000000000001" customHeight="1" thickBot="1" x14ac:dyDescent="0.3">
      <c r="A78" s="7"/>
      <c r="B78" s="65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5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5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5"/>
      <c r="C81" s="57" t="s">
        <v>165</v>
      </c>
      <c r="D81" s="10"/>
    </row>
    <row r="82" spans="1:7" ht="17.100000000000001" customHeight="1" thickBot="1" x14ac:dyDescent="0.3">
      <c r="A82" s="7"/>
      <c r="B82" s="65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5"/>
      <c r="C83" s="57" t="str">
        <f ca="1">_xlfn.CONCAT("  MOV BX, ", (RANDBETWEEN(0, 3) * 4) )</f>
        <v xml:space="preserve">  MOV BX, 8</v>
      </c>
      <c r="D83" s="10"/>
    </row>
    <row r="84" spans="1:7" ht="17.100000000000001" customHeight="1" thickBot="1" x14ac:dyDescent="0.3">
      <c r="A84" s="7"/>
      <c r="B84" s="65"/>
      <c r="C84" s="57" t="s">
        <v>142</v>
      </c>
      <c r="D84" s="10"/>
    </row>
    <row r="85" spans="1:7" ht="17.100000000000001" customHeight="1" thickBot="1" x14ac:dyDescent="0.3">
      <c r="A85" s="7"/>
      <c r="B85" s="65"/>
      <c r="C85" s="57" t="str">
        <f ca="1">IF(E85="  MOV CX, WORD PTR ES:[DI + 0]", "  MOV CX, WORD PTR ES:[DI]", E85)</f>
        <v xml:space="preserve">  MOV CX, WORD PTR ES:[DI + 2]</v>
      </c>
      <c r="D85" s="10"/>
      <c r="E85" s="62" t="str">
        <f ca="1">_xlfn.CONCAT("  MOV CX, WORD PTR ES:[DI + ", RANDBETWEEN(0, 3), "]")</f>
        <v xml:space="preserve">  MOV CX, WORD PTR ES:[DI + 2]</v>
      </c>
      <c r="F85" s="62"/>
      <c r="G85" s="62"/>
    </row>
    <row r="86" spans="1:7" ht="17.100000000000001" customHeight="1" thickBot="1" x14ac:dyDescent="0.3">
      <c r="A86" s="7"/>
      <c r="B86" s="65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5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25</v>
      </c>
      <c r="C88" s="57" t="str">
        <f ca="1">_xlfn.CONCAT("  MOV BX, ", (RANDBETWEEN(0, 3) * 4) )</f>
        <v xml:space="preserve">  MOV BX, 8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/>
      <c r="C90" s="57" t="str">
        <f ca="1">IF(E90="  MOV CX, WORD PTR ES:[DI + 0]", "  MOV CX, WORD PTR ES:[DI]", E90)</f>
        <v xml:space="preserve">  MOV CX, WORD PTR ES:[DI]</v>
      </c>
      <c r="D90" s="10"/>
      <c r="E90" s="62" t="str">
        <f ca="1">_xlfn.CONCAT("  MOV CX, WORD PTR ES:[DI + ", RANDBETWEEN(0, 3), "]")</f>
        <v xml:space="preserve">  MOV CX, WORD PTR ES:[DI + 0]</v>
      </c>
      <c r="F90" s="62"/>
      <c r="G90" s="62"/>
    </row>
    <row r="91" spans="1:7" ht="17.100000000000001" customHeight="1" thickBot="1" x14ac:dyDescent="0.3">
      <c r="A91" s="9"/>
      <c r="B91" s="66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6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6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6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6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6"/>
      <c r="C98" s="57" t="str">
        <f ca="1">_xlfn.CONCAT(E98, E121)</f>
        <v xml:space="preserve">  MOV BYTE PTR [BP + 1], 80h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6"/>
      <c r="C99" s="57" t="str">
        <f ca="1">_xlfn.CONCAT("  MOV WORD PTR [BP - ", ABS(G99),"], ", E129)</f>
        <v xml:space="preserve">  MOV WORD PTR [BP - 3], 317Ah</v>
      </c>
      <c r="D99" s="10"/>
      <c r="E99" s="64" t="str">
        <f ca="1">_xlfn.CONCAT("  MOV WORD PTR [BP - ", G99,"], ")</f>
        <v xml:space="preserve">  MOV WORD PTR [BP - -3],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- 3], </v>
      </c>
      <c r="G99" s="63" cm="1">
        <f t="array" aca="1" ref="G99" ca="1">randNrBetweenWithException(-3, -1, -2)</f>
        <v>-3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_xlfn.CONCAT(E100, E130)</f>
        <v xml:space="preserve">  MOV WORD PTR [BP - 6], 0B3F4h</v>
      </c>
      <c r="D100" s="10"/>
      <c r="E100" s="64" t="str">
        <f ca="1">IF(F100=E99, REPLACE(F100, 22, 1, "2"), F100)</f>
        <v xml:space="preserve">  MOV WORD PTR [BP - 6],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- 6], </v>
      </c>
      <c r="G100" s="63" cm="1">
        <f t="array" aca="1" ref="G100" ca="1">randNrBetweenWithException(-6, 2, G98, G99)</f>
        <v>-6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_xlfn.CONCAT(F101, E122)</f>
        <v xml:space="preserve">  MOV BYTE PTR [BP - 1], 0AAh</v>
      </c>
      <c r="D101" s="10"/>
      <c r="E101" s="64" t="str">
        <f ca="1">IF(F101 = E98, REPLACE(F101, 22, 1, "2"), F101)</f>
        <v xml:space="preserve">  MOV BYTE PTR [BP - 1],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- 1], </v>
      </c>
      <c r="G101" s="62" cm="1">
        <f t="array" aca="1" ref="G101" ca="1">randNrBetweenWithException(-7, 3, G98, G99, G100)</f>
        <v>-1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6"/>
      <c r="C103" s="57" t="s">
        <v>181</v>
      </c>
      <c r="D103" s="10"/>
    </row>
    <row r="104" spans="1:11" ht="17.100000000000001" customHeight="1" thickBot="1" x14ac:dyDescent="0.3">
      <c r="A104" s="9"/>
      <c r="B104" s="66"/>
      <c r="C104" s="57" t="s">
        <v>169</v>
      </c>
      <c r="D104" s="10"/>
    </row>
    <row r="105" spans="1:11" ht="17.100000000000001" customHeight="1" thickBot="1" x14ac:dyDescent="0.3">
      <c r="A105" s="9"/>
      <c r="B105" s="66"/>
      <c r="C105" s="57" t="s">
        <v>170</v>
      </c>
      <c r="D105" s="10"/>
    </row>
    <row r="106" spans="1:11" ht="17.100000000000001" customHeight="1" thickBot="1" x14ac:dyDescent="0.3">
      <c r="A106" s="9"/>
      <c r="B106" s="66"/>
      <c r="C106" s="57" t="s">
        <v>36</v>
      </c>
      <c r="D106" s="10"/>
    </row>
    <row r="107" spans="1:11" ht="17.100000000000001" customHeight="1" thickBot="1" x14ac:dyDescent="0.3">
      <c r="A107" s="9"/>
      <c r="B107" s="66"/>
      <c r="C107" s="57" t="s">
        <v>35</v>
      </c>
      <c r="D107" s="10"/>
    </row>
    <row r="108" spans="1:11" ht="17.100000000000001" customHeight="1" thickBot="1" x14ac:dyDescent="0.3">
      <c r="A108" s="9"/>
      <c r="B108" s="80">
        <v>30</v>
      </c>
      <c r="C108" s="57" t="s">
        <v>46</v>
      </c>
      <c r="D108" s="10"/>
    </row>
    <row r="109" spans="1:11" ht="16.5" thickBot="1" x14ac:dyDescent="0.3">
      <c r="A109" s="9"/>
      <c r="B109" s="81"/>
      <c r="C109" s="57" t="s">
        <v>47</v>
      </c>
      <c r="D109" s="10"/>
    </row>
    <row r="110" spans="1:11" ht="16.5" thickBot="1" x14ac:dyDescent="0.3">
      <c r="A110" s="3"/>
      <c r="B110" s="82"/>
      <c r="C110" s="57" t="s">
        <v>48</v>
      </c>
      <c r="D110" s="10"/>
    </row>
    <row r="111" spans="1:11" ht="16.5" thickBot="1" x14ac:dyDescent="0.3">
      <c r="A111" s="1"/>
      <c r="B111" s="65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254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0FEh</v>
      </c>
    </row>
    <row r="118" spans="3:5" x14ac:dyDescent="0.25">
      <c r="C118" s="39" t="s">
        <v>103</v>
      </c>
    </row>
    <row r="119" spans="3:5" x14ac:dyDescent="0.25">
      <c r="C119">
        <f ca="1">RANDBETWEEN(1,255)</f>
        <v>70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46h</v>
      </c>
    </row>
    <row r="120" spans="3:5" x14ac:dyDescent="0.25">
      <c r="C120">
        <f ca="1">RANDBETWEEN(1,255)</f>
        <v>37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25h</v>
      </c>
    </row>
    <row r="121" spans="3:5" x14ac:dyDescent="0.25">
      <c r="C121">
        <f ca="1">RANDBETWEEN(1,255)</f>
        <v>128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80h</v>
      </c>
    </row>
    <row r="122" spans="3:5" x14ac:dyDescent="0.25">
      <c r="C122">
        <f ca="1">RANDBETWEEN(1,255)</f>
        <v>170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0AAh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38211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9543h</v>
      </c>
    </row>
    <row r="125" spans="3:5" x14ac:dyDescent="0.25">
      <c r="C125">
        <f ca="1">RANDBETWEEN(0, 65535)</f>
        <v>1969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7B1h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58967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0E657h</v>
      </c>
    </row>
    <row r="128" spans="3:5" x14ac:dyDescent="0.25">
      <c r="C128">
        <f ca="1">RANDBETWEEN(256, 65535)</f>
        <v>8685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21EDh</v>
      </c>
    </row>
    <row r="129" spans="3:5" x14ac:dyDescent="0.25">
      <c r="C129">
        <f ca="1">RANDBETWEEN(256, 65535)</f>
        <v>12666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317Ah</v>
      </c>
    </row>
    <row r="130" spans="3:5" x14ac:dyDescent="0.25">
      <c r="C130">
        <f ca="1">RANDBETWEEN(256, 65535)</f>
        <v>46068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0B3F4h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48124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0BBFCh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1810568128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6BEB13C0h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610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262h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610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1111001111110011b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SHL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1B05-78E7-43E8-80A4-084C18D1BCCA}">
  <sheetPr codeName="Sheet10"/>
  <dimension ref="A1:K171"/>
  <sheetViews>
    <sheetView topLeftCell="B1" zoomScale="85" zoomScaleNormal="85" workbookViewId="0">
      <selection activeCell="E16" sqref="E16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1010101010101010b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1240</v>
      </c>
      <c r="D14" s="10"/>
    </row>
    <row r="15" spans="1:4" ht="16.5" customHeight="1" thickBot="1" x14ac:dyDescent="0.3">
      <c r="A15" s="7"/>
      <c r="B15" s="60"/>
      <c r="C15" s="57" t="s">
        <v>16</v>
      </c>
      <c r="D15" s="10"/>
    </row>
    <row r="16" spans="1:4" ht="17.100000000000001" customHeight="1" thickBot="1" x14ac:dyDescent="0.3">
      <c r="A16" s="7"/>
      <c r="B16" s="79">
        <v>3</v>
      </c>
      <c r="C16" s="57" t="str">
        <f ca="1">_xlfn.CONCAT("  var1 DW ", E127)</f>
        <v xml:space="preserve">  var1 DW 8744h</v>
      </c>
      <c r="D16" s="10"/>
    </row>
    <row r="17" spans="1:4" ht="17.100000000000001" customHeight="1" thickBot="1" x14ac:dyDescent="0.3">
      <c r="A17" s="7"/>
      <c r="B17" s="79"/>
      <c r="C17" s="57" t="str">
        <f ca="1">_xlfn.CONCAT("  var2 DW ", E128)</f>
        <v xml:space="preserve">  var2 DW 0DE5Dh</v>
      </c>
      <c r="D17" s="10"/>
    </row>
    <row r="18" spans="1:4" ht="17.100000000000001" customHeight="1" thickBot="1" x14ac:dyDescent="0.3">
      <c r="A18" s="7"/>
      <c r="B18" s="79"/>
      <c r="C18" s="57" t="str">
        <f ca="1">_xlfn.CONCAT("  var3 DB ", E119)</f>
        <v xml:space="preserve">  var3 DB 72h</v>
      </c>
      <c r="D18" s="10"/>
    </row>
    <row r="19" spans="1:4" ht="17.100000000000001" customHeight="1" thickBot="1" x14ac:dyDescent="0.3">
      <c r="A19" s="7"/>
      <c r="B19" s="79"/>
      <c r="C19" s="57" t="str">
        <f ca="1">_xlfn.CONCAT("  var4 DB ", E120)</f>
        <v xml:space="preserve">  var4 DB 9Ch</v>
      </c>
      <c r="D19" s="10"/>
    </row>
    <row r="20" spans="1:4" ht="17.100000000000001" customHeight="1" thickBot="1" x14ac:dyDescent="0.3">
      <c r="A20" s="7"/>
      <c r="B20" s="79"/>
      <c r="C20" s="57" t="str">
        <f ca="1">_xlfn.CONCAT("  var5 DD ", E134)</f>
        <v xml:space="preserve">  var5 DD 0F24C7868h</v>
      </c>
      <c r="D20" s="10"/>
    </row>
    <row r="21" spans="1:4" ht="17.100000000000001" customHeight="1" thickBot="1" x14ac:dyDescent="0.3">
      <c r="A21" s="7"/>
      <c r="B21" s="79"/>
      <c r="C21" s="57" t="s">
        <v>166</v>
      </c>
      <c r="D21" s="10"/>
    </row>
    <row r="22" spans="1:4" ht="17.100000000000001" customHeight="1" thickBot="1" x14ac:dyDescent="0.3">
      <c r="A22" s="7"/>
      <c r="B22" s="60"/>
      <c r="C22" s="57" t="s">
        <v>21</v>
      </c>
      <c r="D22" s="10"/>
    </row>
    <row r="23" spans="1:4" ht="17.100000000000001" customHeight="1" thickBot="1" x14ac:dyDescent="0.3">
      <c r="A23" s="7"/>
      <c r="B23" s="60"/>
      <c r="C23" s="57"/>
      <c r="D23" s="10"/>
    </row>
    <row r="24" spans="1:4" ht="17.100000000000001" customHeight="1" thickBot="1" x14ac:dyDescent="0.3">
      <c r="A24" s="7"/>
      <c r="B24" s="60"/>
      <c r="C24" s="57" t="s">
        <v>171</v>
      </c>
      <c r="D24" s="10"/>
    </row>
    <row r="25" spans="1:4" ht="17.100000000000001" customHeight="1" thickBot="1" x14ac:dyDescent="0.3">
      <c r="A25" s="7"/>
      <c r="B25" s="60"/>
      <c r="C25" s="57" t="s">
        <v>179</v>
      </c>
      <c r="D25" s="10"/>
    </row>
    <row r="26" spans="1:4" ht="17.100000000000001" customHeight="1" thickBot="1" x14ac:dyDescent="0.3">
      <c r="A26" s="7"/>
      <c r="B26" s="60"/>
      <c r="C26" s="57" t="s">
        <v>177</v>
      </c>
      <c r="D26" s="10"/>
    </row>
    <row r="27" spans="1:4" ht="17.100000000000001" customHeight="1" thickBot="1" x14ac:dyDescent="0.3">
      <c r="A27" s="7"/>
      <c r="B27" s="60"/>
      <c r="C27" s="57" t="s">
        <v>178</v>
      </c>
      <c r="D27" s="10"/>
    </row>
    <row r="28" spans="1:4" ht="17.100000000000001" customHeight="1" thickBot="1" x14ac:dyDescent="0.3">
      <c r="A28" s="7"/>
      <c r="B28" s="60"/>
      <c r="C28" s="57" t="s">
        <v>176</v>
      </c>
      <c r="D28" s="10"/>
    </row>
    <row r="29" spans="1:4" ht="17.100000000000001" customHeight="1" thickBot="1" x14ac:dyDescent="0.3">
      <c r="A29" s="7"/>
      <c r="B29" s="60"/>
      <c r="C29" s="57" t="str">
        <f ca="1">_xlfn.CONCAT("proc compNr ", C170)</f>
        <v>proc compNr far</v>
      </c>
      <c r="D29" s="10"/>
    </row>
    <row r="30" spans="1:4" ht="17.100000000000001" customHeight="1" thickBot="1" x14ac:dyDescent="0.3">
      <c r="A30" s="7"/>
      <c r="B30" s="60"/>
      <c r="C30" s="57" t="s">
        <v>116</v>
      </c>
      <c r="D30" s="10"/>
    </row>
    <row r="31" spans="1:4" ht="17.100000000000001" customHeight="1" thickBot="1" x14ac:dyDescent="0.3">
      <c r="A31" s="7"/>
      <c r="B31" s="60"/>
      <c r="C31" s="57" t="s">
        <v>117</v>
      </c>
      <c r="D31" s="10"/>
    </row>
    <row r="32" spans="1:4" ht="17.100000000000001" customHeight="1" thickBot="1" x14ac:dyDescent="0.3">
      <c r="A32" s="7"/>
      <c r="B32" s="60"/>
      <c r="C32" s="57" t="s">
        <v>149</v>
      </c>
      <c r="D32" s="10"/>
    </row>
    <row r="33" spans="1:4" ht="17.100000000000001" customHeight="1" thickBot="1" x14ac:dyDescent="0.3">
      <c r="A33" s="7"/>
      <c r="B33" s="60"/>
      <c r="C33" s="57" t="s">
        <v>175</v>
      </c>
      <c r="D33" s="10"/>
    </row>
    <row r="34" spans="1:4" ht="17.100000000000001" customHeight="1" thickBot="1" x14ac:dyDescent="0.3">
      <c r="A34" s="7"/>
      <c r="B34" s="60"/>
      <c r="C34" s="57" t="s">
        <v>174</v>
      </c>
      <c r="D34" s="10"/>
    </row>
    <row r="35" spans="1:4" ht="17.100000000000001" customHeight="1" thickBot="1" x14ac:dyDescent="0.3">
      <c r="A35" s="7"/>
      <c r="B35" s="60"/>
      <c r="C35" s="57" t="s">
        <v>120</v>
      </c>
      <c r="D35" s="10"/>
    </row>
    <row r="36" spans="1:4" ht="17.100000000000001" customHeight="1" thickBot="1" x14ac:dyDescent="0.3">
      <c r="A36" s="7"/>
      <c r="B36" s="60"/>
      <c r="C36" s="57" t="s">
        <v>121</v>
      </c>
      <c r="D36" s="10"/>
    </row>
    <row r="37" spans="1:4" ht="17.100000000000001" customHeight="1" thickBot="1" x14ac:dyDescent="0.3">
      <c r="A37" s="7"/>
      <c r="B37" s="60"/>
      <c r="C37" s="57" t="s">
        <v>122</v>
      </c>
      <c r="D37" s="10"/>
    </row>
    <row r="38" spans="1:4" ht="17.100000000000001" customHeight="1" thickBot="1" x14ac:dyDescent="0.3">
      <c r="A38" s="7"/>
      <c r="B38" s="60"/>
      <c r="C38" s="57" t="s">
        <v>123</v>
      </c>
      <c r="D38" s="10"/>
    </row>
    <row r="39" spans="1:4" ht="17.100000000000001" customHeight="1" thickBot="1" x14ac:dyDescent="0.3">
      <c r="A39" s="7"/>
      <c r="B39" s="60"/>
      <c r="C39" s="57" t="s">
        <v>124</v>
      </c>
      <c r="D39" s="10"/>
    </row>
    <row r="40" spans="1:4" ht="17.100000000000001" customHeight="1" thickBot="1" x14ac:dyDescent="0.3">
      <c r="A40" s="7"/>
      <c r="B40" s="60"/>
      <c r="C40" s="57" t="s">
        <v>125</v>
      </c>
      <c r="D40" s="10"/>
    </row>
    <row r="41" spans="1:4" ht="17.100000000000001" customHeight="1" thickBot="1" x14ac:dyDescent="0.3">
      <c r="A41" s="7"/>
      <c r="B41" s="60"/>
      <c r="C41" s="57" t="s">
        <v>123</v>
      </c>
      <c r="D41" s="10"/>
    </row>
    <row r="42" spans="1:4" ht="17.100000000000001" customHeight="1" thickBot="1" x14ac:dyDescent="0.3">
      <c r="A42" s="7"/>
      <c r="B42" s="60"/>
      <c r="C42" s="57" t="s">
        <v>126</v>
      </c>
      <c r="D42" s="10"/>
    </row>
    <row r="43" spans="1:4" ht="17.100000000000001" customHeight="1" thickBot="1" x14ac:dyDescent="0.3">
      <c r="A43" s="7"/>
      <c r="B43" s="60"/>
      <c r="C43" s="57" t="s">
        <v>127</v>
      </c>
      <c r="D43" s="10"/>
    </row>
    <row r="44" spans="1:4" ht="17.100000000000001" customHeight="1" thickBot="1" x14ac:dyDescent="0.3">
      <c r="A44" s="7"/>
      <c r="B44" s="60"/>
      <c r="C44" s="57" t="s">
        <v>123</v>
      </c>
      <c r="D44" s="10"/>
    </row>
    <row r="45" spans="1:4" ht="17.100000000000001" customHeight="1" thickBot="1" x14ac:dyDescent="0.3">
      <c r="A45" s="7"/>
      <c r="B45" s="60"/>
      <c r="C45" s="57" t="s">
        <v>128</v>
      </c>
      <c r="D45" s="10"/>
    </row>
    <row r="46" spans="1:4" ht="17.100000000000001" customHeight="1" thickBot="1" x14ac:dyDescent="0.3">
      <c r="A46" s="7"/>
      <c r="B46" s="60"/>
      <c r="C46" s="57" t="s">
        <v>150</v>
      </c>
      <c r="D46" s="10"/>
    </row>
    <row r="47" spans="1:4" ht="17.100000000000001" customHeight="1" thickBot="1" x14ac:dyDescent="0.3">
      <c r="A47" s="7"/>
      <c r="B47" s="60"/>
      <c r="C47" s="57" t="s">
        <v>131</v>
      </c>
      <c r="D47" s="10"/>
    </row>
    <row r="48" spans="1:4" ht="17.100000000000001" customHeight="1" thickBot="1" x14ac:dyDescent="0.3">
      <c r="A48" s="7"/>
      <c r="B48" s="60"/>
      <c r="C48" s="57" t="s">
        <v>129</v>
      </c>
      <c r="D48" s="10"/>
    </row>
    <row r="49" spans="1:4" ht="17.100000000000001" customHeight="1" thickBot="1" x14ac:dyDescent="0.3">
      <c r="A49" s="7"/>
      <c r="B49" s="60"/>
      <c r="C49" s="57" t="s">
        <v>130</v>
      </c>
      <c r="D49" s="10"/>
    </row>
    <row r="50" spans="1:4" ht="17.100000000000001" customHeight="1" thickBot="1" x14ac:dyDescent="0.3">
      <c r="A50" s="7"/>
      <c r="B50" s="60"/>
      <c r="C50" s="57"/>
      <c r="D50" s="10"/>
    </row>
    <row r="51" spans="1:4" ht="17.100000000000001" customHeight="1" thickBot="1" x14ac:dyDescent="0.3">
      <c r="A51" s="7"/>
      <c r="B51" s="60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0"/>
      <c r="C52" s="57" t="s">
        <v>161</v>
      </c>
      <c r="D52" s="10"/>
    </row>
    <row r="53" spans="1:4" ht="17.100000000000001" customHeight="1" thickBot="1" x14ac:dyDescent="0.3">
      <c r="A53" s="7"/>
      <c r="B53" s="60"/>
      <c r="C53" s="57" t="s">
        <v>163</v>
      </c>
      <c r="D53" s="10"/>
    </row>
    <row r="54" spans="1:4" ht="17.100000000000001" customHeight="1" thickBot="1" x14ac:dyDescent="0.3">
      <c r="A54" s="7"/>
      <c r="B54" s="60"/>
      <c r="C54" s="57" t="s">
        <v>162</v>
      </c>
      <c r="D54" s="10"/>
    </row>
    <row r="55" spans="1:4" ht="17.100000000000001" customHeight="1" thickBot="1" x14ac:dyDescent="0.3">
      <c r="A55" s="7"/>
      <c r="B55" s="60"/>
      <c r="C55" s="57"/>
      <c r="D55" s="10"/>
    </row>
    <row r="56" spans="1:4" ht="17.100000000000001" customHeight="1" thickBot="1" x14ac:dyDescent="0.3">
      <c r="A56" s="7"/>
      <c r="B56" s="60"/>
      <c r="C56" s="57" t="s">
        <v>22</v>
      </c>
      <c r="D56" s="10"/>
    </row>
    <row r="57" spans="1:4" ht="17.100000000000001" customHeight="1" thickBot="1" x14ac:dyDescent="0.3">
      <c r="A57" s="7"/>
      <c r="B57" s="80">
        <v>3</v>
      </c>
      <c r="C57" s="57" t="s">
        <v>51</v>
      </c>
      <c r="D57" s="10"/>
    </row>
    <row r="58" spans="1:4" ht="17.100000000000001" customHeight="1" thickBot="1" x14ac:dyDescent="0.3">
      <c r="A58" s="7"/>
      <c r="B58" s="81"/>
      <c r="C58" s="57" t="s">
        <v>49</v>
      </c>
      <c r="D58" s="10"/>
    </row>
    <row r="59" spans="1:4" ht="17.100000000000001" customHeight="1" thickBot="1" x14ac:dyDescent="0.3">
      <c r="A59" s="7"/>
      <c r="B59" s="82"/>
      <c r="C59" s="57" t="s">
        <v>50</v>
      </c>
      <c r="D59" s="10"/>
    </row>
    <row r="60" spans="1:4" ht="17.100000000000001" customHeight="1" thickBot="1" x14ac:dyDescent="0.3">
      <c r="A60" s="7"/>
      <c r="B60" s="60"/>
      <c r="C60" s="57" t="s">
        <v>52</v>
      </c>
      <c r="D60" s="10"/>
    </row>
    <row r="61" spans="1:4" ht="17.100000000000001" customHeight="1" thickBot="1" x14ac:dyDescent="0.3">
      <c r="A61" s="7"/>
      <c r="B61" s="60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0">
        <v>5</v>
      </c>
      <c r="C62" s="57" t="str">
        <f ca="1">_xlfn.CONCAT("  mov AX, ", E132)</f>
        <v xml:space="preserve">  mov AX, 679Bh</v>
      </c>
      <c r="D62" s="10"/>
    </row>
    <row r="63" spans="1:4" ht="17.100000000000001" customHeight="1" thickBot="1" x14ac:dyDescent="0.3">
      <c r="A63" s="7"/>
      <c r="B63" s="60">
        <v>6</v>
      </c>
      <c r="C63" s="57" t="s">
        <v>71</v>
      </c>
      <c r="D63" s="10"/>
    </row>
    <row r="64" spans="1:4" ht="17.100000000000001" customHeight="1" thickBot="1" x14ac:dyDescent="0.3">
      <c r="A64" s="7"/>
      <c r="B64" s="60">
        <v>7</v>
      </c>
      <c r="C64" s="57" t="s">
        <v>72</v>
      </c>
      <c r="D64" s="10"/>
    </row>
    <row r="65" spans="1:4" ht="17.100000000000001" customHeight="1" thickBot="1" x14ac:dyDescent="0.3">
      <c r="A65" s="7"/>
      <c r="B65" s="60">
        <v>8</v>
      </c>
      <c r="C65" s="57" t="s">
        <v>72</v>
      </c>
      <c r="D65" s="10"/>
    </row>
    <row r="66" spans="1:4" ht="17.100000000000001" customHeight="1" thickBot="1" x14ac:dyDescent="0.3">
      <c r="A66" s="7"/>
      <c r="B66" s="60">
        <v>9</v>
      </c>
      <c r="C66" s="57" t="s">
        <v>73</v>
      </c>
      <c r="D66" s="10"/>
    </row>
    <row r="67" spans="1:4" ht="17.100000000000001" customHeight="1" thickBot="1" x14ac:dyDescent="0.3">
      <c r="A67" s="7"/>
      <c r="B67" s="60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0">
        <v>11</v>
      </c>
      <c r="C68" s="57" t="str">
        <f ca="1">_xlfn.CONCAT( "  MOV DH, BYTE PTR var5 + ", RANDBETWEEN(1, 3) )</f>
        <v xml:space="preserve">  MOV DH, BYTE PTR var5 + 1</v>
      </c>
      <c r="D68" s="10"/>
    </row>
    <row r="69" spans="1:4" ht="17.100000000000001" customHeight="1" thickBot="1" x14ac:dyDescent="0.3">
      <c r="A69" s="7"/>
      <c r="B69" s="60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0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0">
        <v>14</v>
      </c>
      <c r="C71" s="57" t="str">
        <f ca="1">_xlfn.CONCAT( "  MOV CL, ", RANDBETWEEN(1, 3) )</f>
        <v xml:space="preserve">  MOV CL, 2</v>
      </c>
      <c r="D71" s="10"/>
    </row>
    <row r="72" spans="1:4" ht="17.100000000000001" customHeight="1" thickBot="1" x14ac:dyDescent="0.3">
      <c r="A72" s="7"/>
      <c r="B72" s="60">
        <v>15</v>
      </c>
      <c r="C72" s="57" t="str">
        <f ca="1">_xlfn.CONCAT("  ",C160," DX, CL")</f>
        <v xml:space="preserve">  ROR DX, CL</v>
      </c>
      <c r="D72" s="10"/>
    </row>
    <row r="73" spans="1:4" ht="17.100000000000001" customHeight="1" thickBot="1" x14ac:dyDescent="0.3">
      <c r="A73" s="7"/>
      <c r="B73" s="60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0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0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0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0"/>
      <c r="C77" s="57" t="s">
        <v>141</v>
      </c>
      <c r="D77" s="10"/>
    </row>
    <row r="78" spans="1:4" ht="17.100000000000001" customHeight="1" thickBot="1" x14ac:dyDescent="0.3">
      <c r="A78" s="7"/>
      <c r="B78" s="60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0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0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0"/>
      <c r="C81" s="57" t="s">
        <v>165</v>
      </c>
      <c r="D81" s="10"/>
    </row>
    <row r="82" spans="1:7" ht="17.100000000000001" customHeight="1" thickBot="1" x14ac:dyDescent="0.3">
      <c r="A82" s="7"/>
      <c r="B82" s="60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0"/>
      <c r="C83" s="57" t="str">
        <f ca="1">_xlfn.CONCAT("  MOV BX, ", (RANDBETWEEN(0, 3) * 4) )</f>
        <v xml:space="preserve">  MOV BX, 8</v>
      </c>
      <c r="D83" s="10"/>
    </row>
    <row r="84" spans="1:7" ht="17.100000000000001" customHeight="1" thickBot="1" x14ac:dyDescent="0.3">
      <c r="A84" s="7"/>
      <c r="B84" s="60"/>
      <c r="C84" s="57" t="s">
        <v>142</v>
      </c>
      <c r="D84" s="10"/>
    </row>
    <row r="85" spans="1:7" ht="17.100000000000001" customHeight="1" thickBot="1" x14ac:dyDescent="0.3">
      <c r="A85" s="7"/>
      <c r="B85" s="60"/>
      <c r="C85" s="57" t="str">
        <f ca="1">IF(E85="  MOV CX, WORD PTR ES:[DI + 0]", "  MOV CX, WORD PTR ES:[DI]", E85)</f>
        <v xml:space="preserve">  MOV CX, WORD PTR ES:[DI + 1]</v>
      </c>
      <c r="D85" s="10"/>
      <c r="E85" s="62" t="str">
        <f ca="1">_xlfn.CONCAT("  MOV CX, WORD PTR ES:[DI + ", RANDBETWEEN(0, 3), "]")</f>
        <v xml:space="preserve">  MOV CX, WORD PTR ES:[DI + 1]</v>
      </c>
      <c r="F85" s="62"/>
      <c r="G85" s="62"/>
    </row>
    <row r="86" spans="1:7" ht="17.100000000000001" customHeight="1" thickBot="1" x14ac:dyDescent="0.3">
      <c r="A86" s="7"/>
      <c r="B86" s="60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0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0">
        <v>25</v>
      </c>
      <c r="C88" s="57" t="str">
        <f ca="1">_xlfn.CONCAT("  MOV BX, ", (RANDBETWEEN(0, 3) * 4) )</f>
        <v xml:space="preserve">  MOV BX, 8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0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0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1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1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1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1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1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1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1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1"/>
      <c r="C98" s="57" t="str">
        <f ca="1">_xlfn.CONCAT(E98, E121)</f>
        <v xml:space="preserve">  MOV BYTE PTR [BP + 1], 84h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1"/>
      <c r="C99" s="57" t="str">
        <f ca="1">_xlfn.CONCAT("  MOV WORD PTR [BP - ", ABS(G99),"], ", E129)</f>
        <v xml:space="preserve">  MOV WORD PTR [BP - 1], 573h</v>
      </c>
      <c r="D99" s="10"/>
      <c r="E99" s="64" t="str">
        <f ca="1">_xlfn.CONCAT("  MOV WORD PTR [BP - ", G99,"], ")</f>
        <v xml:space="preserve">  MOV WORD PTR [BP - -1],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- 1], </v>
      </c>
      <c r="G99" s="63" cm="1">
        <f t="array" aca="1" ref="G99" ca="1">randNrBetweenWithException(-3, -1, -2)</f>
        <v>-1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1"/>
      <c r="C100" s="57" t="str">
        <f ca="1">_xlfn.CONCAT(E100, E130)</f>
        <v xml:space="preserve">  MOV WORD PTR [BP - 3], 0C8A0h</v>
      </c>
      <c r="D100" s="10"/>
      <c r="E100" s="64" t="str">
        <f ca="1">IF(F100=E99, REPLACE(F100, 22, 1, "2"), F100)</f>
        <v xml:space="preserve">  MOV WORD PTR [BP - 3],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randNrBetweenWithException(-6, 2, G98, G99)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1"/>
      <c r="C101" s="57" t="str">
        <f ca="1">_xlfn.CONCAT(F101, E122)</f>
        <v xml:space="preserve">  MOV BYTE PTR [BP - 5], 70h</v>
      </c>
      <c r="D101" s="10"/>
      <c r="E101" s="64" t="str">
        <f ca="1">IF(F101 = E98, REPLACE(F101, 22, 1, "2"), F101)</f>
        <v xml:space="preserve">  MOV BYTE PTR [BP - 5],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- 5], </v>
      </c>
      <c r="G101" s="62" cm="1">
        <f t="array" aca="1" ref="G101" ca="1">randNrBetweenWithException(-7, -3, G98, G99, G100)</f>
        <v>-5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1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1"/>
      <c r="C103" s="57" t="s">
        <v>181</v>
      </c>
      <c r="D103" s="10"/>
    </row>
    <row r="104" spans="1:11" ht="17.100000000000001" customHeight="1" thickBot="1" x14ac:dyDescent="0.3">
      <c r="A104" s="9"/>
      <c r="B104" s="61"/>
      <c r="C104" s="57" t="s">
        <v>169</v>
      </c>
      <c r="D104" s="10"/>
    </row>
    <row r="105" spans="1:11" ht="17.100000000000001" customHeight="1" thickBot="1" x14ac:dyDescent="0.3">
      <c r="A105" s="9"/>
      <c r="B105" s="61"/>
      <c r="C105" s="57" t="s">
        <v>170</v>
      </c>
      <c r="D105" s="10"/>
    </row>
    <row r="106" spans="1:11" ht="17.100000000000001" customHeight="1" thickBot="1" x14ac:dyDescent="0.3">
      <c r="A106" s="9"/>
      <c r="B106" s="61"/>
      <c r="C106" s="57" t="s">
        <v>36</v>
      </c>
      <c r="D106" s="10"/>
    </row>
    <row r="107" spans="1:11" ht="17.100000000000001" customHeight="1" thickBot="1" x14ac:dyDescent="0.3">
      <c r="A107" s="9"/>
      <c r="B107" s="61"/>
      <c r="C107" s="57" t="s">
        <v>35</v>
      </c>
      <c r="D107" s="10"/>
    </row>
    <row r="108" spans="1:11" ht="17.100000000000001" customHeight="1" thickBot="1" x14ac:dyDescent="0.3">
      <c r="A108" s="9"/>
      <c r="B108" s="80">
        <v>30</v>
      </c>
      <c r="C108" s="57" t="s">
        <v>46</v>
      </c>
      <c r="D108" s="10"/>
    </row>
    <row r="109" spans="1:11" ht="16.5" thickBot="1" x14ac:dyDescent="0.3">
      <c r="A109" s="9"/>
      <c r="B109" s="81"/>
      <c r="C109" s="57" t="s">
        <v>47</v>
      </c>
      <c r="D109" s="10"/>
    </row>
    <row r="110" spans="1:11" ht="16.5" thickBot="1" x14ac:dyDescent="0.3">
      <c r="A110" s="3"/>
      <c r="B110" s="82"/>
      <c r="C110" s="57" t="s">
        <v>48</v>
      </c>
      <c r="D110" s="10"/>
    </row>
    <row r="111" spans="1:11" ht="16.5" thickBot="1" x14ac:dyDescent="0.3">
      <c r="A111" s="1"/>
      <c r="B111" s="60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169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0A9h</v>
      </c>
    </row>
    <row r="118" spans="3:5" x14ac:dyDescent="0.25">
      <c r="C118" s="39" t="s">
        <v>103</v>
      </c>
    </row>
    <row r="119" spans="3:5" x14ac:dyDescent="0.25">
      <c r="C119">
        <f ca="1">RANDBETWEEN(1,255)</f>
        <v>114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72h</v>
      </c>
    </row>
    <row r="120" spans="3:5" x14ac:dyDescent="0.25">
      <c r="C120">
        <f ca="1">RANDBETWEEN(1,255)</f>
        <v>156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9Ch</v>
      </c>
    </row>
    <row r="121" spans="3:5" x14ac:dyDescent="0.25">
      <c r="C121">
        <f ca="1">RANDBETWEEN(1,255)</f>
        <v>132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84h</v>
      </c>
    </row>
    <row r="122" spans="3:5" x14ac:dyDescent="0.25">
      <c r="C122">
        <f ca="1">RANDBETWEEN(1,255)</f>
        <v>112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70h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56667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0DD5Bh</v>
      </c>
    </row>
    <row r="125" spans="3:5" x14ac:dyDescent="0.25">
      <c r="C125">
        <f ca="1">RANDBETWEEN(0, 65535)</f>
        <v>42628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0A684h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34628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8744h</v>
      </c>
    </row>
    <row r="128" spans="3:5" x14ac:dyDescent="0.25">
      <c r="C128">
        <f ca="1">RANDBETWEEN(256, 65535)</f>
        <v>56925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0DE5Dh</v>
      </c>
    </row>
    <row r="129" spans="3:5" x14ac:dyDescent="0.25">
      <c r="C129">
        <f ca="1">RANDBETWEEN(256, 65535)</f>
        <v>1395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573h</v>
      </c>
    </row>
    <row r="130" spans="3:5" x14ac:dyDescent="0.25">
      <c r="C130">
        <f ca="1">RANDBETWEEN(256, 65535)</f>
        <v>51360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0C8A0h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26523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679Bh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4065097832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0F24C7868h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1246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4DEh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1240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1010101010101010b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8AE3-710D-4AEA-9475-D522A694C1C6}">
  <sheetPr codeName="Sheet9"/>
  <dimension ref="A1:E100"/>
  <sheetViews>
    <sheetView topLeftCell="A25" workbookViewId="0">
      <selection activeCell="G39" sqref="G3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43" t="s">
        <v>5</v>
      </c>
      <c r="C2" s="44" t="s">
        <v>14</v>
      </c>
      <c r="D2" s="10"/>
    </row>
    <row r="3" spans="1:4" ht="16.5" thickBot="1" x14ac:dyDescent="0.3">
      <c r="A3" s="8"/>
      <c r="B3" s="45"/>
      <c r="C3" s="46" t="s">
        <v>99</v>
      </c>
      <c r="D3" s="10"/>
    </row>
    <row r="4" spans="1:4" ht="16.5" thickBot="1" x14ac:dyDescent="0.3">
      <c r="A4" s="8"/>
      <c r="B4" s="45"/>
      <c r="C4" s="47" t="s">
        <v>100</v>
      </c>
      <c r="D4" s="10"/>
    </row>
    <row r="5" spans="1:4" ht="16.5" thickBot="1" x14ac:dyDescent="0.3">
      <c r="A5" s="8"/>
      <c r="B5" s="45"/>
      <c r="C5" s="46" t="s">
        <v>98</v>
      </c>
      <c r="D5" s="10"/>
    </row>
    <row r="6" spans="1:4" ht="15.75" thickBot="1" x14ac:dyDescent="0.3">
      <c r="A6" s="8"/>
      <c r="B6" s="45"/>
      <c r="C6" s="48"/>
      <c r="D6" s="10"/>
    </row>
    <row r="7" spans="1:4" ht="16.5" thickBot="1" x14ac:dyDescent="0.3">
      <c r="A7" s="8"/>
      <c r="B7" s="45"/>
      <c r="C7" s="49" t="str">
        <f ca="1">_xlfn.CONCAT("masca equ ", C89)</f>
        <v>masca equ 0110011001100110b</v>
      </c>
      <c r="D7" s="10"/>
    </row>
    <row r="8" spans="1:4" ht="15.75" thickBot="1" x14ac:dyDescent="0.3">
      <c r="A8" s="8"/>
      <c r="B8" s="45"/>
      <c r="C8" s="48"/>
      <c r="D8" s="10"/>
    </row>
    <row r="9" spans="1:4" ht="16.5" thickBot="1" x14ac:dyDescent="0.3">
      <c r="A9" s="8"/>
      <c r="B9" s="45"/>
      <c r="C9" s="46" t="s">
        <v>89</v>
      </c>
      <c r="D9" s="10"/>
    </row>
    <row r="10" spans="1:4" ht="16.5" thickBot="1" x14ac:dyDescent="0.3">
      <c r="A10" s="8"/>
      <c r="B10" s="45">
        <v>1</v>
      </c>
      <c r="C10" s="46" t="str">
        <f ca="1">_xlfn.CONCAT(".stack ", C77)</f>
        <v>.stack 1160</v>
      </c>
      <c r="D10" s="10"/>
    </row>
    <row r="11" spans="1:4" ht="16.5" customHeight="1" thickBot="1" x14ac:dyDescent="0.3">
      <c r="A11" s="7"/>
      <c r="B11" s="50"/>
      <c r="C11" s="46" t="s">
        <v>16</v>
      </c>
      <c r="D11" s="10"/>
    </row>
    <row r="12" spans="1:4" ht="17.100000000000001" customHeight="1" thickBot="1" x14ac:dyDescent="0.3">
      <c r="A12" s="7"/>
      <c r="B12" s="83">
        <v>2</v>
      </c>
      <c r="C12" s="46" t="str">
        <f ca="1">_xlfn.CONCAT("  var1 DW ", E68)</f>
        <v xml:space="preserve">  var1 DW 64CBh</v>
      </c>
      <c r="D12" s="10"/>
    </row>
    <row r="13" spans="1:4" ht="17.100000000000001" customHeight="1" thickBot="1" x14ac:dyDescent="0.3">
      <c r="A13" s="7"/>
      <c r="B13" s="83"/>
      <c r="C13" s="46" t="str">
        <f ca="1">_xlfn.CONCAT("  var2 DW ", E69)</f>
        <v xml:space="preserve">  var2 DW 0D69Ah</v>
      </c>
      <c r="D13" s="10"/>
    </row>
    <row r="14" spans="1:4" ht="17.100000000000001" customHeight="1" thickBot="1" x14ac:dyDescent="0.3">
      <c r="A14" s="7"/>
      <c r="B14" s="83"/>
      <c r="C14" s="46" t="str">
        <f ca="1">_xlfn.CONCAT("  var3 DD ", E73)</f>
        <v xml:space="preserve">  var3 DD 0FC559D04h</v>
      </c>
      <c r="D14" s="10"/>
    </row>
    <row r="15" spans="1:4" ht="17.100000000000001" customHeight="1" thickBot="1" x14ac:dyDescent="0.3">
      <c r="A15" s="7"/>
      <c r="B15" s="83"/>
      <c r="C15" s="46" t="str">
        <f ca="1">_xlfn.CONCAT("  var4 DB ", E63)</f>
        <v xml:space="preserve">  var4 DB 0F7h</v>
      </c>
      <c r="D15" s="10"/>
    </row>
    <row r="16" spans="1:4" ht="17.100000000000001" customHeight="1" thickBot="1" x14ac:dyDescent="0.3">
      <c r="A16" s="7"/>
      <c r="B16" s="83"/>
      <c r="C16" s="46" t="s">
        <v>90</v>
      </c>
      <c r="D16" s="10"/>
    </row>
    <row r="17" spans="1:4" ht="17.100000000000001" customHeight="1" thickBot="1" x14ac:dyDescent="0.3">
      <c r="A17" s="7"/>
      <c r="B17" s="50"/>
      <c r="C17" s="46" t="s">
        <v>21</v>
      </c>
      <c r="D17" s="10"/>
    </row>
    <row r="18" spans="1:4" ht="17.100000000000001" customHeight="1" thickBot="1" x14ac:dyDescent="0.3">
      <c r="A18" s="7"/>
      <c r="B18" s="50"/>
      <c r="C18" s="51" t="s">
        <v>22</v>
      </c>
      <c r="D18" s="10"/>
    </row>
    <row r="19" spans="1:4" ht="17.100000000000001" customHeight="1" thickBot="1" x14ac:dyDescent="0.3">
      <c r="A19" s="7"/>
      <c r="B19" s="83">
        <v>3</v>
      </c>
      <c r="C19" s="51" t="s">
        <v>51</v>
      </c>
      <c r="D19" s="10"/>
    </row>
    <row r="20" spans="1:4" ht="17.100000000000001" customHeight="1" thickBot="1" x14ac:dyDescent="0.3">
      <c r="A20" s="7"/>
      <c r="B20" s="83"/>
      <c r="C20" s="46" t="s">
        <v>92</v>
      </c>
      <c r="D20" s="10"/>
    </row>
    <row r="21" spans="1:4" ht="17.100000000000001" customHeight="1" thickBot="1" x14ac:dyDescent="0.3">
      <c r="A21" s="7"/>
      <c r="B21" s="83"/>
      <c r="C21" s="46" t="s">
        <v>93</v>
      </c>
      <c r="D21" s="10"/>
    </row>
    <row r="22" spans="1:4" ht="17.100000000000001" customHeight="1" thickBot="1" x14ac:dyDescent="0.3">
      <c r="A22" s="7"/>
      <c r="B22" s="50"/>
      <c r="C22" s="51" t="s">
        <v>52</v>
      </c>
      <c r="D22" s="10"/>
    </row>
    <row r="23" spans="1:4" ht="17.100000000000001" customHeight="1" thickBot="1" x14ac:dyDescent="0.3">
      <c r="A23" s="7"/>
      <c r="B23" s="50">
        <v>4</v>
      </c>
      <c r="C23" s="46" t="s">
        <v>91</v>
      </c>
      <c r="D23" s="10"/>
    </row>
    <row r="24" spans="1:4" ht="17.100000000000001" customHeight="1" thickBot="1" x14ac:dyDescent="0.3">
      <c r="A24" s="7"/>
      <c r="B24" s="50">
        <v>5</v>
      </c>
      <c r="C24" s="46" t="str">
        <f ca="1">_xlfn.CONCAT("  mov AX, ", E71)</f>
        <v xml:space="preserve">  mov AX, 58B3h</v>
      </c>
      <c r="D24" s="10"/>
    </row>
    <row r="25" spans="1:4" ht="17.100000000000001" customHeight="1" thickBot="1" x14ac:dyDescent="0.3">
      <c r="A25" s="7"/>
      <c r="B25" s="50">
        <v>6</v>
      </c>
      <c r="C25" s="46" t="s">
        <v>71</v>
      </c>
      <c r="D25" s="10"/>
    </row>
    <row r="26" spans="1:4" ht="17.100000000000001" customHeight="1" thickBot="1" x14ac:dyDescent="0.3">
      <c r="A26" s="7"/>
      <c r="B26" s="50">
        <v>7</v>
      </c>
      <c r="C26" s="46" t="s">
        <v>72</v>
      </c>
      <c r="D26" s="10"/>
    </row>
    <row r="27" spans="1:4" ht="17.100000000000001" customHeight="1" thickBot="1" x14ac:dyDescent="0.3">
      <c r="A27" s="7"/>
      <c r="B27" s="50">
        <v>8</v>
      </c>
      <c r="C27" s="46" t="s">
        <v>72</v>
      </c>
      <c r="D27" s="10"/>
    </row>
    <row r="28" spans="1:4" ht="17.100000000000001" customHeight="1" thickBot="1" x14ac:dyDescent="0.3">
      <c r="A28" s="7"/>
      <c r="B28" s="50">
        <v>9</v>
      </c>
      <c r="C28" s="46" t="s">
        <v>73</v>
      </c>
      <c r="D28" s="10"/>
    </row>
    <row r="29" spans="1:4" ht="17.100000000000001" customHeight="1" thickBot="1" x14ac:dyDescent="0.3">
      <c r="A29" s="7"/>
      <c r="B29" s="50">
        <v>10</v>
      </c>
      <c r="C29" s="46" t="s">
        <v>74</v>
      </c>
      <c r="D29" s="10"/>
    </row>
    <row r="30" spans="1:4" ht="17.100000000000001" customHeight="1" thickBot="1" x14ac:dyDescent="0.3">
      <c r="A30" s="7"/>
      <c r="B30" s="50">
        <v>11</v>
      </c>
      <c r="C30" s="46" t="s">
        <v>94</v>
      </c>
      <c r="D30" s="10"/>
    </row>
    <row r="31" spans="1:4" ht="17.100000000000001" customHeight="1" thickBot="1" x14ac:dyDescent="0.3">
      <c r="A31" s="7"/>
      <c r="B31" s="50">
        <v>12</v>
      </c>
      <c r="C31" s="46" t="s">
        <v>95</v>
      </c>
      <c r="D31" s="10"/>
    </row>
    <row r="32" spans="1:4" ht="17.100000000000001" customHeight="1" thickBot="1" x14ac:dyDescent="0.3">
      <c r="A32" s="7"/>
      <c r="B32" s="50">
        <v>13</v>
      </c>
      <c r="C32" s="46" t="s">
        <v>96</v>
      </c>
      <c r="D32" s="10"/>
    </row>
    <row r="33" spans="1:4" ht="17.100000000000001" customHeight="1" thickBot="1" x14ac:dyDescent="0.3">
      <c r="A33" s="7"/>
      <c r="B33" s="50">
        <v>14</v>
      </c>
      <c r="C33" s="46" t="str">
        <f ca="1">_xlfn.CONCAT( "  MOV CL, ", RANDBETWEEN(1, 3) )</f>
        <v xml:space="preserve">  MOV CL, 3</v>
      </c>
      <c r="D33" s="10"/>
    </row>
    <row r="34" spans="1:4" ht="17.100000000000001" customHeight="1" thickBot="1" x14ac:dyDescent="0.3">
      <c r="A34" s="7"/>
      <c r="B34" s="50"/>
      <c r="C34" s="46" t="str">
        <f ca="1">_xlfn.CONCAT("  ",C97," BX, CL")</f>
        <v xml:space="preserve">  SHR BX, CL</v>
      </c>
      <c r="D34" s="10"/>
    </row>
    <row r="35" spans="1:4" ht="17.100000000000001" customHeight="1" thickBot="1" x14ac:dyDescent="0.3">
      <c r="A35" s="7"/>
      <c r="B35" s="50"/>
      <c r="C35" s="46" t="s">
        <v>109</v>
      </c>
      <c r="D35" s="10"/>
    </row>
    <row r="36" spans="1:4" ht="17.100000000000001" customHeight="1" thickBot="1" x14ac:dyDescent="0.3">
      <c r="A36" s="7"/>
      <c r="B36" s="50"/>
      <c r="C36" s="46" t="s">
        <v>27</v>
      </c>
      <c r="D36" s="10"/>
    </row>
    <row r="37" spans="1:4" ht="17.100000000000001" customHeight="1" thickBot="1" x14ac:dyDescent="0.3">
      <c r="A37" s="7"/>
      <c r="B37" s="50"/>
      <c r="C37" s="46" t="s">
        <v>28</v>
      </c>
      <c r="D37" s="10"/>
    </row>
    <row r="38" spans="1:4" ht="17.100000000000001" customHeight="1" thickBot="1" x14ac:dyDescent="0.3">
      <c r="A38" s="7"/>
      <c r="B38" s="50"/>
      <c r="C38" s="46" t="s">
        <v>112</v>
      </c>
      <c r="D38" s="10"/>
    </row>
    <row r="39" spans="1:4" ht="17.100000000000001" customHeight="1" thickBot="1" x14ac:dyDescent="0.3">
      <c r="A39" s="7"/>
      <c r="B39" s="50"/>
      <c r="C39" s="46"/>
      <c r="D39" s="10"/>
    </row>
    <row r="40" spans="1:4" ht="17.100000000000001" customHeight="1" thickBot="1" x14ac:dyDescent="0.3">
      <c r="A40" s="7"/>
      <c r="B40" s="50">
        <v>16</v>
      </c>
      <c r="C40" s="46" t="s">
        <v>26</v>
      </c>
      <c r="D40" s="10"/>
    </row>
    <row r="41" spans="1:4" ht="17.100000000000001" customHeight="1" thickBot="1" x14ac:dyDescent="0.3">
      <c r="A41" s="7"/>
      <c r="B41" s="50">
        <v>17</v>
      </c>
      <c r="C41" s="46" t="s">
        <v>27</v>
      </c>
      <c r="D41" s="10"/>
    </row>
    <row r="42" spans="1:4" ht="17.100000000000001" customHeight="1" thickBot="1" x14ac:dyDescent="0.3">
      <c r="A42" s="7"/>
      <c r="B42" s="50">
        <v>18</v>
      </c>
      <c r="C42" s="46" t="s">
        <v>28</v>
      </c>
      <c r="D42" s="10"/>
    </row>
    <row r="43" spans="1:4" ht="17.100000000000001" customHeight="1" thickBot="1" x14ac:dyDescent="0.3">
      <c r="A43" s="7"/>
      <c r="B43" s="50">
        <v>19</v>
      </c>
      <c r="C43" s="46" t="s">
        <v>29</v>
      </c>
      <c r="D43" s="10"/>
    </row>
    <row r="44" spans="1:4" ht="17.100000000000001" customHeight="1" thickBot="1" x14ac:dyDescent="0.3">
      <c r="A44" s="7"/>
      <c r="B44" s="50">
        <v>20</v>
      </c>
      <c r="C44" s="46" t="s">
        <v>30</v>
      </c>
      <c r="D44" s="10"/>
    </row>
    <row r="45" spans="1:4" ht="17.100000000000001" customHeight="1" thickBot="1" x14ac:dyDescent="0.3">
      <c r="A45" s="7"/>
      <c r="B45" s="50">
        <v>21</v>
      </c>
      <c r="C45" s="46" t="s">
        <v>101</v>
      </c>
      <c r="D45" s="10"/>
    </row>
    <row r="46" spans="1:4" ht="17.100000000000001" customHeight="1" thickBot="1" x14ac:dyDescent="0.3">
      <c r="A46" s="7"/>
      <c r="B46" s="50">
        <v>22</v>
      </c>
      <c r="C46" s="46" t="s">
        <v>32</v>
      </c>
      <c r="D46" s="10"/>
    </row>
    <row r="47" spans="1:4" ht="17.100000000000001" customHeight="1" thickBot="1" x14ac:dyDescent="0.3">
      <c r="A47" s="7"/>
      <c r="B47" s="50">
        <v>23</v>
      </c>
      <c r="C47" s="46" t="s">
        <v>33</v>
      </c>
      <c r="D47" s="10"/>
    </row>
    <row r="48" spans="1:4" ht="17.100000000000001" customHeight="1" thickBot="1" x14ac:dyDescent="0.3">
      <c r="A48" s="7"/>
      <c r="B48" s="50">
        <v>24</v>
      </c>
      <c r="C48" s="46" t="s">
        <v>34</v>
      </c>
      <c r="D48" s="10"/>
    </row>
    <row r="49" spans="1:5" ht="17.100000000000001" customHeight="1" thickBot="1" x14ac:dyDescent="0.3">
      <c r="A49" s="7"/>
      <c r="B49" s="50">
        <v>25</v>
      </c>
      <c r="C49" s="51" t="s">
        <v>102</v>
      </c>
      <c r="D49" s="10"/>
    </row>
    <row r="50" spans="1:5" ht="17.100000000000001" customHeight="1" thickBot="1" x14ac:dyDescent="0.3">
      <c r="A50" s="7"/>
      <c r="B50" s="50">
        <v>26</v>
      </c>
      <c r="C50" s="46" t="s">
        <v>35</v>
      </c>
      <c r="D50" s="10"/>
    </row>
    <row r="51" spans="1:5" ht="17.100000000000001" customHeight="1" thickBot="1" x14ac:dyDescent="0.3">
      <c r="A51" s="7"/>
      <c r="B51" s="50">
        <v>27</v>
      </c>
      <c r="C51" s="46" t="s">
        <v>36</v>
      </c>
      <c r="D51" s="10"/>
    </row>
    <row r="52" spans="1:5" ht="17.100000000000001" customHeight="1" thickBot="1" x14ac:dyDescent="0.3">
      <c r="A52" s="9"/>
      <c r="B52" s="83">
        <v>28</v>
      </c>
      <c r="C52" s="51" t="s">
        <v>46</v>
      </c>
      <c r="D52" s="10"/>
    </row>
    <row r="53" spans="1:5" ht="17.100000000000001" customHeight="1" thickBot="1" x14ac:dyDescent="0.3">
      <c r="A53" s="9"/>
      <c r="B53" s="83"/>
      <c r="C53" s="46" t="s">
        <v>47</v>
      </c>
      <c r="D53" s="10"/>
    </row>
    <row r="54" spans="1:5" ht="17.100000000000001" customHeight="1" thickBot="1" x14ac:dyDescent="0.3">
      <c r="A54" s="9"/>
      <c r="B54" s="83"/>
      <c r="C54" s="46" t="s">
        <v>48</v>
      </c>
      <c r="D54" s="10"/>
    </row>
    <row r="55" spans="1:5" ht="17.100000000000001" customHeight="1" thickBot="1" x14ac:dyDescent="0.3">
      <c r="A55" s="9"/>
      <c r="B55" s="50">
        <v>29</v>
      </c>
      <c r="C55" s="52" t="s">
        <v>97</v>
      </c>
      <c r="D55" s="10"/>
    </row>
    <row r="56" spans="1:5" ht="9.9499999999999993" customHeight="1" x14ac:dyDescent="0.25">
      <c r="A56" s="3"/>
      <c r="B56" s="22"/>
      <c r="C56" s="6"/>
      <c r="D56" s="3"/>
    </row>
    <row r="57" spans="1:5" ht="9.9499999999999993" customHeight="1" x14ac:dyDescent="0.25">
      <c r="A57" s="1"/>
      <c r="B57" s="38"/>
      <c r="C57" s="1"/>
      <c r="D57" s="1"/>
    </row>
    <row r="58" spans="1:5" ht="9.9499999999999993" customHeight="1" x14ac:dyDescent="0.25">
      <c r="A58" s="1"/>
      <c r="B58" s="38"/>
      <c r="C58" s="1"/>
      <c r="D58" s="1"/>
    </row>
    <row r="59" spans="1:5" x14ac:dyDescent="0.25">
      <c r="C59" t="s">
        <v>62</v>
      </c>
      <c r="E59" t="s">
        <v>63</v>
      </c>
    </row>
    <row r="60" spans="1:5" x14ac:dyDescent="0.25">
      <c r="C60" s="39" t="s">
        <v>58</v>
      </c>
    </row>
    <row r="61" spans="1:5" x14ac:dyDescent="0.25">
      <c r="C61">
        <f ca="1">RANDBETWEEN(0,255)</f>
        <v>6</v>
      </c>
      <c r="E61" t="str">
        <f ca="1">_xlfn.CONCAT( _xlfn.IFS( C61 &lt; HEX2DEC("A"), DEC2HEX(C61, 1), C61 &lt; HEX2DEC("A0"), DEC2HEX(C61, 2), C61 &lt; HEX2DEC("A00"), DEC2HEX(C61, 3), C61 &lt; HEX2DEC("A000"), DEC2HEX(C61, 4), C61 &lt; HEX2DEC("A0000"), DEC2HEX(C61, 5), C61 &lt; HEX2DEC("A00000"), DEC2HEX(C61, 6), C61 &lt; HEX2DEC("A000000"), DEC2HEX(C61, 7), C61 &lt; HEX2DEC("A0000000"), DEC2HEX(C61, 8), TRUE, DEC2HEX(C61, 9) ), "h" )</f>
        <v>6h</v>
      </c>
    </row>
    <row r="62" spans="1:5" x14ac:dyDescent="0.25">
      <c r="C62" s="39" t="s">
        <v>103</v>
      </c>
    </row>
    <row r="63" spans="1:5" x14ac:dyDescent="0.25">
      <c r="C63">
        <f ca="1">RANDBETWEEN(1,255)</f>
        <v>247</v>
      </c>
      <c r="E63" t="str">
        <f ca="1">_xlfn.CONCAT( _xlfn.IFS( C63 &lt; HEX2DEC("A"), DEC2HEX(C63, 1), C63 &lt; HEX2DEC("A0"), DEC2HEX(C63, 2), C63 &lt; HEX2DEC("A00"), DEC2HEX(C63, 3), C63 &lt; HEX2DEC("A000"), DEC2HEX(C63, 4), C63 &lt; HEX2DEC("A0000"), DEC2HEX(C63, 5), C63 &lt; HEX2DEC("A00000"), DEC2HEX(C63, 6), C63 &lt; HEX2DEC("A000000"), DEC2HEX(C63, 7), C63 &lt; HEX2DEC("A0000000"), DEC2HEX(C63, 8), TRUE, DEC2HEX(C63, 9) ), "h" )</f>
        <v>0F7h</v>
      </c>
    </row>
    <row r="64" spans="1:5" x14ac:dyDescent="0.25">
      <c r="C64" s="39" t="s">
        <v>59</v>
      </c>
    </row>
    <row r="65" spans="3:5" x14ac:dyDescent="0.25">
      <c r="C65">
        <f ca="1">RANDBETWEEN(0, 65535)</f>
        <v>50952</v>
      </c>
      <c r="E65" t="str">
        <f ca="1">_xlfn.CONCAT( _xlfn.IFS( C65 &lt; HEX2DEC("A"), DEC2HEX(C65, 1), C65 &lt; HEX2DEC("A0"), DEC2HEX(C65, 2), C65 &lt; HEX2DEC("A00"), DEC2HEX(C65, 3), C65 &lt; HEX2DEC("A000"), DEC2HEX(C65, 4), C65 &lt; HEX2DEC("A0000"), DEC2HEX(C65, 5), C65 &lt; HEX2DEC("A00000"), DEC2HEX(C65, 6), C65 &lt; HEX2DEC("A000000"), DEC2HEX(C65, 7), C65 &lt; HEX2DEC("A0000000"), DEC2HEX(C65, 8), TRUE, DEC2HEX(C65, 9) ), "h" )</f>
        <v>0C708h</v>
      </c>
    </row>
    <row r="66" spans="3:5" x14ac:dyDescent="0.25">
      <c r="C66">
        <f ca="1">RANDBETWEEN(0, 65535)</f>
        <v>2725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0AA5h</v>
      </c>
    </row>
    <row r="67" spans="3:5" x14ac:dyDescent="0.25">
      <c r="C67" s="39" t="s">
        <v>60</v>
      </c>
    </row>
    <row r="68" spans="3:5" x14ac:dyDescent="0.25">
      <c r="C68">
        <f ca="1">RANDBETWEEN(256, 65535)</f>
        <v>25803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64CBh</v>
      </c>
    </row>
    <row r="69" spans="3:5" x14ac:dyDescent="0.25">
      <c r="C69">
        <f ca="1">RANDBETWEEN(256, 65535)</f>
        <v>54938</v>
      </c>
      <c r="E69" t="str">
        <f ca="1">_xlfn.CONCAT( _xlfn.IFS( C69 &lt; HEX2DEC("A"), DEC2HEX(C69, 1), C69 &lt; HEX2DEC("A0"), DEC2HEX(C69, 2), C69 &lt; HEX2DEC("A00"), DEC2HEX(C69, 3), C69 &lt; HEX2DEC("A000"), DEC2HEX(C69, 4), C69 &lt; HEX2DEC("A0000"), DEC2HEX(C69, 5), C69 &lt; HEX2DEC("A00000"), DEC2HEX(C69, 6), C69 &lt; HEX2DEC("A000000"), DEC2HEX(C69, 7), C69 &lt; HEX2DEC("A0000000"), DEC2HEX(C69, 8), TRUE, DEC2HEX(C69, 9) ), "h" )</f>
        <v>0D69Ah</v>
      </c>
    </row>
    <row r="70" spans="3:5" x14ac:dyDescent="0.25">
      <c r="C70" s="39" t="s">
        <v>68</v>
      </c>
    </row>
    <row r="71" spans="3:5" x14ac:dyDescent="0.25">
      <c r="C71">
        <f ca="1">RANDBETWEEN(HEX2DEC("1000"), 65535)</f>
        <v>22707</v>
      </c>
      <c r="E71" t="str">
        <f ca="1">_xlfn.CONCAT( _xlfn.IFS( C71 &lt; HEX2DEC("A"), DEC2HEX(C71, 1), C71 &lt; HEX2DEC("A0"), DEC2HEX(C71, 2), C71 &lt; HEX2DEC("A00"), DEC2HEX(C71, 3), C71 &lt; HEX2DEC("A000"), DEC2HEX(C71, 4), C71 &lt; HEX2DEC("A0000"), DEC2HEX(C71, 5), C71 &lt; HEX2DEC("A00000"), DEC2HEX(C71, 6), C71 &lt; HEX2DEC("A000000"), DEC2HEX(C71, 7), C71 &lt; HEX2DEC("A0000000"), DEC2HEX(C71, 8), TRUE, DEC2HEX(C71, 9) ), "h" )</f>
        <v>58B3h</v>
      </c>
    </row>
    <row r="72" spans="3:5" x14ac:dyDescent="0.25">
      <c r="C72" s="39" t="s">
        <v>61</v>
      </c>
    </row>
    <row r="73" spans="3:5" x14ac:dyDescent="0.25">
      <c r="C73">
        <f ca="1">RANDBETWEEN(65536, 4294967295)</f>
        <v>4233469188</v>
      </c>
      <c r="E73" t="str">
        <f ca="1">_xlfn.CONCAT( _xlfn.IFS( C73 &lt; HEX2DEC("A"), DEC2HEX(C73, 1), C73 &lt; HEX2DEC("A0"), DEC2HEX(C73, 2), C73 &lt; HEX2DEC("A00"), DEC2HEX(C73, 3), C73 &lt; HEX2DEC("A000"), DEC2HEX(C73, 4), C73 &lt; HEX2DEC("A0000"), DEC2HEX(C73, 5), C73 &lt; HEX2DEC("A00000"), DEC2HEX(C73, 6), C73 &lt; HEX2DEC("A000000"), DEC2HEX(C73, 7), C73 &lt; HEX2DEC("A0000000"), DEC2HEX(C73, 8), TRUE, DEC2HEX(C73, 9) ), "h" )</f>
        <v>0FC559D04h</v>
      </c>
    </row>
    <row r="74" spans="3:5" x14ac:dyDescent="0.25">
      <c r="C74" t="s">
        <v>64</v>
      </c>
    </row>
    <row r="75" spans="3:5" x14ac:dyDescent="0.25">
      <c r="C75">
        <f ca="1">EVEN(RANDBETWEEN(100, 2048))</f>
        <v>1166</v>
      </c>
      <c r="E75" t="str">
        <f ca="1">_xlfn.CONCAT( _xlfn.IFS( C75 &lt; HEX2DEC("A"), DEC2HEX(C75, 1), C75 &lt; HEX2DEC("A0"), DEC2HEX(C75, 2), C75 &lt; HEX2DEC("A00"), DEC2HEX(C75, 3), C75 &lt; HEX2DEC("A000"), DEC2HEX(C75, 4), C75 &lt; HEX2DEC("A0000"), DEC2HEX(C75, 5), C75 &lt; HEX2DEC("A00000"), DEC2HEX(C75, 6), C75 &lt; HEX2DEC("A000000"), DEC2HEX(C75, 7), C75 &lt; HEX2DEC("A0000000"), DEC2HEX(C75, 8), TRUE, DEC2HEX(C75, 9) ), "h" )</f>
        <v>48Eh</v>
      </c>
    </row>
    <row r="76" spans="3:5" x14ac:dyDescent="0.25">
      <c r="C76" t="s">
        <v>65</v>
      </c>
    </row>
    <row r="77" spans="3:5" x14ac:dyDescent="0.25">
      <c r="C77">
        <f ca="1">ROUNDDOWN(C75/100, 1) * 100</f>
        <v>1160</v>
      </c>
    </row>
    <row r="79" spans="3:5" x14ac:dyDescent="0.25">
      <c r="C79" t="s">
        <v>88</v>
      </c>
    </row>
    <row r="80" spans="3:5" x14ac:dyDescent="0.25">
      <c r="C80" s="53" t="str">
        <f>_xlfn.CONCAT( (HEX2BIN("AA")), (HEX2BIN("AA")), "b" )</f>
        <v>1010101010101010b</v>
      </c>
    </row>
    <row r="81" spans="3:3" x14ac:dyDescent="0.25">
      <c r="C81" t="str">
        <f>_xlfn.CONCAT( (HEX2BIN("FF")), (HEX2BIN("AA")), "b" )</f>
        <v>1111111110101010b</v>
      </c>
    </row>
    <row r="82" spans="3:3" x14ac:dyDescent="0.25">
      <c r="C82" t="str">
        <f>_xlfn.CONCAT( (HEX2BIN("CC")), (HEX2BIN("FF")), "b" )</f>
        <v>1100110011111111b</v>
      </c>
    </row>
    <row r="83" spans="3:3" x14ac:dyDescent="0.25">
      <c r="C83" t="str">
        <f>_xlfn.CONCAT( (HEX2BIN("55", 8)), (HEX2BIN("55", 8)), "b" )</f>
        <v>0101010101010101b</v>
      </c>
    </row>
    <row r="84" spans="3:3" x14ac:dyDescent="0.25">
      <c r="C84" t="str">
        <f>_xlfn.CONCAT( (HEX2BIN("66", 8)), (HEX2BIN("66", 8)), "b" )</f>
        <v>0110011001100110b</v>
      </c>
    </row>
    <row r="85" spans="3:3" x14ac:dyDescent="0.25">
      <c r="C85" t="str">
        <f>_xlfn.CONCAT( (HEX2BIN("99", 8)), (HEX2BIN("99", 8)), "b" )</f>
        <v>1001100110011001b</v>
      </c>
    </row>
    <row r="86" spans="3:3" x14ac:dyDescent="0.25">
      <c r="C86" t="str">
        <f>_xlfn.CONCAT( (HEX2BIN("F3", 8)), (HEX2BIN("F3", 8)), "b" )</f>
        <v>1111001111110011b</v>
      </c>
    </row>
    <row r="87" spans="3:3" x14ac:dyDescent="0.25">
      <c r="C87" t="str">
        <f>_xlfn.CONCAT( (HEX2BIN("FC", 8)), (HEX2BIN("FC", 8)), "b" )</f>
        <v>1111110011111100b</v>
      </c>
    </row>
    <row r="89" spans="3:3" x14ac:dyDescent="0.25">
      <c r="C89" t="str" cm="1">
        <f t="array" aca="1" ref="C89" ca="1">INDEX($C$80:$C$87,RANDBETWEEN(1,COUNTA($C$80:$C$87)), 1)</f>
        <v>0110011001100110b</v>
      </c>
    </row>
    <row r="91" spans="3:3" x14ac:dyDescent="0.25">
      <c r="C91" t="s">
        <v>104</v>
      </c>
    </row>
    <row r="92" spans="3:3" x14ac:dyDescent="0.25">
      <c r="C92" t="s">
        <v>105</v>
      </c>
    </row>
    <row r="93" spans="3:3" x14ac:dyDescent="0.25">
      <c r="C93" t="s">
        <v>106</v>
      </c>
    </row>
    <row r="94" spans="3:3" x14ac:dyDescent="0.25">
      <c r="C94" t="s">
        <v>107</v>
      </c>
    </row>
    <row r="95" spans="3:3" x14ac:dyDescent="0.25">
      <c r="C95" t="s">
        <v>108</v>
      </c>
    </row>
    <row r="97" spans="3:3" x14ac:dyDescent="0.25">
      <c r="C97" t="str" cm="1">
        <f t="array" aca="1" ref="C97" ca="1">INDEX($C$92:$C$95, RANDBETWEEN(1, COUNTA($C$92:$C$95)), 1)</f>
        <v>SHR</v>
      </c>
    </row>
    <row r="99" spans="3:3" x14ac:dyDescent="0.25">
      <c r="C99" t="s">
        <v>110</v>
      </c>
    </row>
    <row r="100" spans="3:3" x14ac:dyDescent="0.25">
      <c r="C100" t="s">
        <v>111</v>
      </c>
    </row>
  </sheetData>
  <mergeCells count="3">
    <mergeCell ref="B12:B16"/>
    <mergeCell ref="B19:B21"/>
    <mergeCell ref="B52:B5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95B8-E1E7-4EAF-8079-496DF8C43483}">
  <sheetPr codeName="Sheet1"/>
  <dimension ref="A2:F20"/>
  <sheetViews>
    <sheetView workbookViewId="0">
      <selection activeCell="A4" sqref="A4:E4"/>
    </sheetView>
  </sheetViews>
  <sheetFormatPr defaultRowHeight="15" x14ac:dyDescent="0.25"/>
  <cols>
    <col min="2" max="2" width="27.42578125" bestFit="1" customWidth="1"/>
    <col min="3" max="3" width="17.85546875" customWidth="1"/>
    <col min="4" max="4" width="13.28515625" customWidth="1"/>
    <col min="5" max="5" width="18.7109375" customWidth="1"/>
  </cols>
  <sheetData>
    <row r="2" spans="1:6" x14ac:dyDescent="0.25">
      <c r="A2" s="3"/>
      <c r="B2" s="3"/>
      <c r="C2" s="3"/>
      <c r="D2" s="3"/>
      <c r="E2" s="3"/>
      <c r="F2" s="3"/>
    </row>
    <row r="3" spans="1:6" ht="15.75" x14ac:dyDescent="0.25">
      <c r="A3" s="3">
        <v>3</v>
      </c>
      <c r="B3" s="4" t="s">
        <v>0</v>
      </c>
      <c r="C3" s="3" t="s">
        <v>1</v>
      </c>
      <c r="D3" s="3" t="s">
        <v>2</v>
      </c>
      <c r="E3" s="3" t="s">
        <v>3</v>
      </c>
      <c r="F3" s="3"/>
    </row>
    <row r="4" spans="1:6" ht="15.75" x14ac:dyDescent="0.25">
      <c r="A4" s="3">
        <v>4</v>
      </c>
      <c r="B4" s="4" t="s">
        <v>4</v>
      </c>
      <c r="C4" s="3" t="s">
        <v>1</v>
      </c>
      <c r="D4" s="3" t="s">
        <v>2</v>
      </c>
      <c r="E4" s="3" t="s">
        <v>3</v>
      </c>
      <c r="F4" s="3"/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B6" s="1"/>
      <c r="C6" s="1"/>
    </row>
    <row r="7" spans="1:6" x14ac:dyDescent="0.25">
      <c r="B7" s="1"/>
      <c r="C7" s="1"/>
    </row>
    <row r="8" spans="1:6" x14ac:dyDescent="0.25">
      <c r="B8" s="1"/>
      <c r="C8" s="1"/>
    </row>
    <row r="14" spans="1:6" x14ac:dyDescent="0.25">
      <c r="D14" s="1"/>
    </row>
    <row r="20" spans="5:5" x14ac:dyDescent="0.25">
      <c r="E20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5234-13D0-4F2D-BD8F-20FC8A05E095}">
  <sheetPr codeName="Sheet2"/>
  <dimension ref="A1:G24"/>
  <sheetViews>
    <sheetView workbookViewId="0">
      <selection activeCell="C8" sqref="C8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5" width="1.7109375" customWidth="1"/>
    <col min="6" max="6" width="63.5703125" bestFit="1" customWidth="1"/>
    <col min="7" max="7" width="1.7109375" customWidth="1"/>
  </cols>
  <sheetData>
    <row r="1" spans="1:7" ht="9.9499999999999993" customHeight="1" thickBot="1" x14ac:dyDescent="0.3">
      <c r="A1" s="3"/>
      <c r="B1" s="5"/>
      <c r="C1" s="5"/>
      <c r="D1" s="3"/>
      <c r="E1" s="3"/>
      <c r="F1" s="9"/>
      <c r="G1" s="3"/>
    </row>
    <row r="2" spans="1:7" ht="19.5" thickBot="1" x14ac:dyDescent="0.3">
      <c r="A2" s="8"/>
      <c r="B2" s="11" t="s">
        <v>5</v>
      </c>
      <c r="C2" s="11" t="s">
        <v>14</v>
      </c>
      <c r="D2" s="10"/>
      <c r="E2" s="10"/>
      <c r="F2" s="11" t="s">
        <v>15</v>
      </c>
      <c r="G2" s="10"/>
    </row>
    <row r="3" spans="1:7" ht="16.5" thickBot="1" x14ac:dyDescent="0.3">
      <c r="A3" s="7"/>
      <c r="B3" s="12"/>
      <c r="C3" s="19" t="s">
        <v>16</v>
      </c>
      <c r="D3" s="10"/>
      <c r="E3" s="10"/>
      <c r="F3" s="13"/>
      <c r="G3" s="10"/>
    </row>
    <row r="4" spans="1:7" ht="16.5" thickBot="1" x14ac:dyDescent="0.3">
      <c r="A4" s="7"/>
      <c r="B4" s="84"/>
      <c r="C4" s="14" t="s">
        <v>19</v>
      </c>
      <c r="D4" s="10"/>
      <c r="E4" s="10"/>
      <c r="F4" s="85" t="s">
        <v>7</v>
      </c>
      <c r="G4" s="10"/>
    </row>
    <row r="5" spans="1:7" ht="16.5" thickBot="1" x14ac:dyDescent="0.3">
      <c r="A5" s="7"/>
      <c r="B5" s="84"/>
      <c r="C5" s="15" t="s">
        <v>18</v>
      </c>
      <c r="D5" s="10"/>
      <c r="E5" s="10"/>
      <c r="F5" s="85"/>
      <c r="G5" s="10"/>
    </row>
    <row r="6" spans="1:7" ht="16.5" thickBot="1" x14ac:dyDescent="0.3">
      <c r="A6" s="7"/>
      <c r="B6" s="84"/>
      <c r="C6" s="16" t="s">
        <v>17</v>
      </c>
      <c r="D6" s="10"/>
      <c r="E6" s="10"/>
      <c r="F6" s="85"/>
      <c r="G6" s="10"/>
    </row>
    <row r="7" spans="1:7" ht="16.5" thickBot="1" x14ac:dyDescent="0.3">
      <c r="A7" s="7"/>
      <c r="B7" s="12"/>
      <c r="C7" s="18" t="s">
        <v>21</v>
      </c>
      <c r="D7" s="10"/>
      <c r="E7" s="10"/>
      <c r="F7" s="13"/>
      <c r="G7" s="10"/>
    </row>
    <row r="8" spans="1:7" ht="16.5" thickBot="1" x14ac:dyDescent="0.3">
      <c r="A8" s="7"/>
      <c r="B8" s="12"/>
      <c r="C8" s="18" t="s">
        <v>22</v>
      </c>
      <c r="D8" s="10"/>
      <c r="E8" s="10"/>
      <c r="F8" s="13"/>
      <c r="G8" s="10"/>
    </row>
    <row r="9" spans="1:7" ht="16.5" thickBot="1" x14ac:dyDescent="0.3">
      <c r="A9" s="7"/>
      <c r="B9" s="12">
        <v>1</v>
      </c>
      <c r="C9" s="13" t="s">
        <v>24</v>
      </c>
      <c r="D9" s="10"/>
      <c r="E9" s="10"/>
      <c r="F9" s="13" t="s">
        <v>8</v>
      </c>
      <c r="G9" s="10"/>
    </row>
    <row r="10" spans="1:7" ht="16.5" thickBot="1" x14ac:dyDescent="0.3">
      <c r="A10" s="7"/>
      <c r="B10" s="12">
        <v>2</v>
      </c>
      <c r="C10" s="13" t="s">
        <v>25</v>
      </c>
      <c r="D10" s="10"/>
      <c r="E10" s="10"/>
      <c r="F10" s="13" t="s">
        <v>9</v>
      </c>
      <c r="G10" s="10"/>
    </row>
    <row r="11" spans="1:7" ht="16.5" thickBot="1" x14ac:dyDescent="0.3">
      <c r="A11" s="7"/>
      <c r="B11" s="12">
        <v>3</v>
      </c>
      <c r="C11" s="13" t="s">
        <v>26</v>
      </c>
      <c r="D11" s="10"/>
      <c r="E11" s="10"/>
      <c r="F11" s="13" t="s">
        <v>1</v>
      </c>
      <c r="G11" s="10"/>
    </row>
    <row r="12" spans="1:7" ht="16.5" thickBot="1" x14ac:dyDescent="0.3">
      <c r="A12" s="7"/>
      <c r="B12" s="12">
        <v>4</v>
      </c>
      <c r="C12" s="13" t="s">
        <v>27</v>
      </c>
      <c r="D12" s="10"/>
      <c r="E12" s="10"/>
      <c r="F12" s="13" t="s">
        <v>10</v>
      </c>
      <c r="G12" s="10"/>
    </row>
    <row r="13" spans="1:7" ht="16.5" thickBot="1" x14ac:dyDescent="0.3">
      <c r="A13" s="7"/>
      <c r="B13" s="12">
        <v>5</v>
      </c>
      <c r="C13" s="13" t="s">
        <v>28</v>
      </c>
      <c r="D13" s="10"/>
      <c r="E13" s="10"/>
      <c r="F13" s="13" t="s">
        <v>10</v>
      </c>
      <c r="G13" s="10"/>
    </row>
    <row r="14" spans="1:7" ht="16.5" thickBot="1" x14ac:dyDescent="0.3">
      <c r="A14" s="7"/>
      <c r="B14" s="12">
        <v>6</v>
      </c>
      <c r="C14" s="13" t="s">
        <v>29</v>
      </c>
      <c r="D14" s="10"/>
      <c r="E14" s="10"/>
      <c r="F14" s="13" t="s">
        <v>11</v>
      </c>
      <c r="G14" s="10"/>
    </row>
    <row r="15" spans="1:7" ht="16.5" thickBot="1" x14ac:dyDescent="0.3">
      <c r="A15" s="7"/>
      <c r="B15" s="12">
        <v>7</v>
      </c>
      <c r="C15" s="13" t="s">
        <v>30</v>
      </c>
      <c r="D15" s="10"/>
      <c r="E15" s="10"/>
      <c r="F15" s="13" t="s">
        <v>9</v>
      </c>
      <c r="G15" s="10"/>
    </row>
    <row r="16" spans="1:7" ht="16.5" thickBot="1" x14ac:dyDescent="0.3">
      <c r="A16" s="7"/>
      <c r="B16" s="12">
        <v>8</v>
      </c>
      <c r="C16" s="13" t="s">
        <v>31</v>
      </c>
      <c r="D16" s="10"/>
      <c r="E16" s="10"/>
      <c r="F16" s="13" t="s">
        <v>9</v>
      </c>
      <c r="G16" s="10"/>
    </row>
    <row r="17" spans="1:7" ht="16.5" thickBot="1" x14ac:dyDescent="0.3">
      <c r="A17" s="7"/>
      <c r="B17" s="12">
        <v>9</v>
      </c>
      <c r="C17" s="13" t="s">
        <v>32</v>
      </c>
      <c r="D17" s="10"/>
      <c r="E17" s="10"/>
      <c r="F17" s="13" t="s">
        <v>12</v>
      </c>
      <c r="G17" s="10"/>
    </row>
    <row r="18" spans="1:7" ht="16.5" thickBot="1" x14ac:dyDescent="0.3">
      <c r="A18" s="7"/>
      <c r="B18" s="12">
        <v>10</v>
      </c>
      <c r="C18" s="13" t="s">
        <v>33</v>
      </c>
      <c r="D18" s="10"/>
      <c r="E18" s="10"/>
      <c r="F18" s="13" t="s">
        <v>13</v>
      </c>
      <c r="G18" s="10"/>
    </row>
    <row r="19" spans="1:7" ht="16.5" thickBot="1" x14ac:dyDescent="0.3">
      <c r="A19" s="7"/>
      <c r="B19" s="12">
        <v>11</v>
      </c>
      <c r="C19" s="13" t="s">
        <v>34</v>
      </c>
      <c r="D19" s="10"/>
      <c r="E19" s="10"/>
      <c r="F19" s="13" t="s">
        <v>9</v>
      </c>
      <c r="G19" s="10"/>
    </row>
    <row r="20" spans="1:7" ht="16.5" thickBot="1" x14ac:dyDescent="0.3">
      <c r="A20" s="7"/>
      <c r="B20" s="12">
        <v>12</v>
      </c>
      <c r="C20" s="13" t="s">
        <v>37</v>
      </c>
      <c r="D20" s="10"/>
      <c r="E20" s="10"/>
      <c r="F20" s="13"/>
      <c r="G20" s="10"/>
    </row>
    <row r="21" spans="1:7" ht="16.5" thickBot="1" x14ac:dyDescent="0.3">
      <c r="A21" s="7"/>
      <c r="B21" s="12">
        <v>13</v>
      </c>
      <c r="C21" s="13" t="s">
        <v>35</v>
      </c>
      <c r="D21" s="10"/>
      <c r="E21" s="10"/>
      <c r="F21" s="13" t="s">
        <v>1</v>
      </c>
      <c r="G21" s="10"/>
    </row>
    <row r="22" spans="1:7" ht="16.5" thickBot="1" x14ac:dyDescent="0.3">
      <c r="A22" s="7"/>
      <c r="B22" s="12">
        <v>14</v>
      </c>
      <c r="C22" s="13" t="s">
        <v>36</v>
      </c>
      <c r="D22" s="10"/>
      <c r="E22" s="10"/>
      <c r="F22" s="13" t="s">
        <v>9</v>
      </c>
      <c r="G22" s="10"/>
    </row>
    <row r="23" spans="1:7" ht="16.5" thickBot="1" x14ac:dyDescent="0.3">
      <c r="A23" s="9"/>
      <c r="B23" s="12">
        <v>15</v>
      </c>
      <c r="C23" s="13" t="s">
        <v>23</v>
      </c>
      <c r="D23" s="10"/>
      <c r="E23" s="10"/>
      <c r="F23" s="13"/>
      <c r="G23" s="10"/>
    </row>
    <row r="24" spans="1:7" ht="9.9499999999999993" customHeight="1" x14ac:dyDescent="0.25">
      <c r="A24" s="3"/>
      <c r="B24" s="6"/>
      <c r="C24" s="6"/>
      <c r="D24" s="3"/>
      <c r="E24" s="3"/>
      <c r="F24" s="8"/>
      <c r="G24" s="3"/>
    </row>
  </sheetData>
  <mergeCells count="2">
    <mergeCell ref="B4:B6"/>
    <mergeCell ref="F4:F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0E6A-0C0E-489B-AB63-29FF896E71AC}">
  <sheetPr codeName="Sheet3"/>
  <dimension ref="A1:D41"/>
  <sheetViews>
    <sheetView topLeftCell="A16" workbookViewId="0">
      <selection activeCell="C12" sqref="C12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4" width="1.7109375" customWidth="1"/>
  </cols>
  <sheetData>
    <row r="1" spans="1:4" ht="9.9499999999999993" customHeight="1" thickBot="1" x14ac:dyDescent="0.3">
      <c r="A1" s="3"/>
      <c r="B1" s="5"/>
      <c r="C1" s="5"/>
      <c r="D1" s="3"/>
    </row>
    <row r="2" spans="1:4" ht="19.5" thickBot="1" x14ac:dyDescent="0.3">
      <c r="A2" s="8"/>
      <c r="B2" s="11" t="s">
        <v>5</v>
      </c>
      <c r="C2" s="11" t="s">
        <v>14</v>
      </c>
      <c r="D2" s="10"/>
    </row>
    <row r="3" spans="1:4" ht="19.5" thickBot="1" x14ac:dyDescent="0.3">
      <c r="A3" s="8"/>
      <c r="B3" s="11"/>
      <c r="C3" s="14" t="s">
        <v>38</v>
      </c>
      <c r="D3" s="10"/>
    </row>
    <row r="4" spans="1:4" ht="19.5" thickBot="1" x14ac:dyDescent="0.3">
      <c r="A4" s="8"/>
      <c r="B4" s="11"/>
      <c r="C4" s="14" t="s">
        <v>40</v>
      </c>
      <c r="D4" s="10"/>
    </row>
    <row r="5" spans="1:4" ht="19.5" thickBot="1" x14ac:dyDescent="0.3">
      <c r="A5" s="8"/>
      <c r="B5" s="11"/>
      <c r="C5" s="14" t="s">
        <v>41</v>
      </c>
      <c r="D5" s="10"/>
    </row>
    <row r="6" spans="1:4" ht="19.5" thickBot="1" x14ac:dyDescent="0.3">
      <c r="A6" s="8"/>
      <c r="B6" s="11"/>
      <c r="C6" s="14" t="s">
        <v>42</v>
      </c>
      <c r="D6" s="10"/>
    </row>
    <row r="7" spans="1:4" ht="19.5" thickBot="1" x14ac:dyDescent="0.3">
      <c r="A7" s="8"/>
      <c r="B7" s="11"/>
      <c r="C7" s="14" t="s">
        <v>43</v>
      </c>
      <c r="D7" s="10"/>
    </row>
    <row r="8" spans="1:4" ht="19.5" thickBot="1" x14ac:dyDescent="0.3">
      <c r="A8" s="8"/>
      <c r="B8" s="11"/>
      <c r="C8" s="14" t="s">
        <v>44</v>
      </c>
      <c r="D8" s="10"/>
    </row>
    <row r="9" spans="1:4" ht="19.5" thickBot="1" x14ac:dyDescent="0.3">
      <c r="A9" s="8"/>
      <c r="B9" s="11"/>
      <c r="C9" s="14" t="s">
        <v>45</v>
      </c>
      <c r="D9" s="10"/>
    </row>
    <row r="10" spans="1:4" ht="19.5" thickBot="1" x14ac:dyDescent="0.3">
      <c r="A10" s="8"/>
      <c r="B10" s="11"/>
      <c r="C10" s="14" t="s">
        <v>39</v>
      </c>
      <c r="D10" s="10"/>
    </row>
    <row r="11" spans="1:4" ht="16.5" customHeight="1" thickBot="1" x14ac:dyDescent="0.3">
      <c r="A11" s="7"/>
      <c r="B11" s="12"/>
      <c r="C11" s="19" t="s">
        <v>16</v>
      </c>
      <c r="D11" s="10"/>
    </row>
    <row r="12" spans="1:4" ht="16.5" customHeight="1" thickBot="1" x14ac:dyDescent="0.3">
      <c r="A12" s="7"/>
      <c r="B12" s="86"/>
      <c r="C12" s="14" t="s">
        <v>38</v>
      </c>
      <c r="D12" s="10"/>
    </row>
    <row r="13" spans="1:4" ht="16.5" customHeight="1" thickBot="1" x14ac:dyDescent="0.3">
      <c r="A13" s="7"/>
      <c r="B13" s="87"/>
      <c r="C13" s="14" t="s">
        <v>40</v>
      </c>
      <c r="D13" s="10"/>
    </row>
    <row r="14" spans="1:4" ht="16.5" customHeight="1" thickBot="1" x14ac:dyDescent="0.3">
      <c r="A14" s="7"/>
      <c r="B14" s="87"/>
      <c r="C14" s="14" t="s">
        <v>41</v>
      </c>
      <c r="D14" s="10"/>
    </row>
    <row r="15" spans="1:4" ht="16.5" customHeight="1" thickBot="1" x14ac:dyDescent="0.3">
      <c r="A15" s="7"/>
      <c r="B15" s="87"/>
      <c r="C15" s="14" t="s">
        <v>42</v>
      </c>
      <c r="D15" s="10"/>
    </row>
    <row r="16" spans="1:4" ht="16.5" customHeight="1" thickBot="1" x14ac:dyDescent="0.3">
      <c r="A16" s="7"/>
      <c r="B16" s="87"/>
      <c r="C16" s="14" t="s">
        <v>43</v>
      </c>
      <c r="D16" s="10"/>
    </row>
    <row r="17" spans="1:4" ht="16.5" customHeight="1" thickBot="1" x14ac:dyDescent="0.3">
      <c r="A17" s="7"/>
      <c r="B17" s="87"/>
      <c r="C17" s="14" t="s">
        <v>44</v>
      </c>
      <c r="D17" s="10"/>
    </row>
    <row r="18" spans="1:4" ht="16.5" customHeight="1" thickBot="1" x14ac:dyDescent="0.3">
      <c r="A18" s="7"/>
      <c r="B18" s="87"/>
      <c r="C18" s="14" t="s">
        <v>45</v>
      </c>
      <c r="D18" s="10"/>
    </row>
    <row r="19" spans="1:4" ht="17.100000000000001" customHeight="1" thickBot="1" x14ac:dyDescent="0.3">
      <c r="A19" s="7"/>
      <c r="B19" s="87"/>
      <c r="C19" s="14" t="s">
        <v>39</v>
      </c>
      <c r="D19" s="10"/>
    </row>
    <row r="20" spans="1:4" ht="17.100000000000001" customHeight="1" thickBot="1" x14ac:dyDescent="0.3">
      <c r="A20" s="7"/>
      <c r="B20" s="87"/>
      <c r="C20" s="14"/>
      <c r="D20" s="10"/>
    </row>
    <row r="21" spans="1:4" ht="17.100000000000001" customHeight="1" thickBot="1" x14ac:dyDescent="0.3">
      <c r="A21" s="7"/>
      <c r="B21" s="87"/>
      <c r="C21" s="20" t="s">
        <v>19</v>
      </c>
      <c r="D21" s="10"/>
    </row>
    <row r="22" spans="1:4" ht="17.100000000000001" customHeight="1" thickBot="1" x14ac:dyDescent="0.3">
      <c r="A22" s="7"/>
      <c r="B22" s="87"/>
      <c r="C22" s="15" t="s">
        <v>18</v>
      </c>
      <c r="D22" s="10"/>
    </row>
    <row r="23" spans="1:4" ht="17.100000000000001" customHeight="1" thickBot="1" x14ac:dyDescent="0.3">
      <c r="A23" s="7"/>
      <c r="B23" s="88"/>
      <c r="C23" s="16" t="s">
        <v>17</v>
      </c>
      <c r="D23" s="10"/>
    </row>
    <row r="24" spans="1:4" ht="17.100000000000001" customHeight="1" thickBot="1" x14ac:dyDescent="0.3">
      <c r="A24" s="7"/>
      <c r="B24" s="12"/>
      <c r="C24" s="18" t="s">
        <v>21</v>
      </c>
      <c r="D24" s="10"/>
    </row>
    <row r="25" spans="1:4" ht="17.100000000000001" customHeight="1" thickBot="1" x14ac:dyDescent="0.3">
      <c r="A25" s="7"/>
      <c r="B25" s="12"/>
      <c r="C25" s="18" t="s">
        <v>22</v>
      </c>
      <c r="D25" s="10"/>
    </row>
    <row r="26" spans="1:4" ht="17.100000000000001" customHeight="1" thickBot="1" x14ac:dyDescent="0.3">
      <c r="A26" s="7"/>
      <c r="B26" s="12">
        <v>1</v>
      </c>
      <c r="C26" s="13" t="s">
        <v>24</v>
      </c>
      <c r="D26" s="10"/>
    </row>
    <row r="27" spans="1:4" ht="17.100000000000001" customHeight="1" thickBot="1" x14ac:dyDescent="0.3">
      <c r="A27" s="7"/>
      <c r="B27" s="12">
        <v>2</v>
      </c>
      <c r="C27" s="13" t="s">
        <v>25</v>
      </c>
      <c r="D27" s="10"/>
    </row>
    <row r="28" spans="1:4" ht="17.100000000000001" customHeight="1" thickBot="1" x14ac:dyDescent="0.3">
      <c r="A28" s="7"/>
      <c r="B28" s="12">
        <v>3</v>
      </c>
      <c r="C28" s="13" t="s">
        <v>26</v>
      </c>
      <c r="D28" s="10"/>
    </row>
    <row r="29" spans="1:4" ht="17.100000000000001" customHeight="1" thickBot="1" x14ac:dyDescent="0.3">
      <c r="A29" s="7"/>
      <c r="B29" s="12">
        <v>4</v>
      </c>
      <c r="C29" s="13" t="s">
        <v>27</v>
      </c>
      <c r="D29" s="10"/>
    </row>
    <row r="30" spans="1:4" ht="17.100000000000001" customHeight="1" thickBot="1" x14ac:dyDescent="0.3">
      <c r="A30" s="7"/>
      <c r="B30" s="12">
        <v>5</v>
      </c>
      <c r="C30" s="13" t="s">
        <v>28</v>
      </c>
      <c r="D30" s="10"/>
    </row>
    <row r="31" spans="1:4" ht="17.100000000000001" customHeight="1" thickBot="1" x14ac:dyDescent="0.3">
      <c r="A31" s="7"/>
      <c r="B31" s="12">
        <v>6</v>
      </c>
      <c r="C31" s="13" t="s">
        <v>29</v>
      </c>
      <c r="D31" s="10"/>
    </row>
    <row r="32" spans="1:4" ht="17.100000000000001" customHeight="1" thickBot="1" x14ac:dyDescent="0.3">
      <c r="A32" s="7"/>
      <c r="B32" s="12">
        <v>7</v>
      </c>
      <c r="C32" s="13" t="s">
        <v>30</v>
      </c>
      <c r="D32" s="10"/>
    </row>
    <row r="33" spans="1:4" ht="17.100000000000001" customHeight="1" thickBot="1" x14ac:dyDescent="0.3">
      <c r="A33" s="7"/>
      <c r="B33" s="12">
        <v>8</v>
      </c>
      <c r="C33" s="13" t="s">
        <v>31</v>
      </c>
      <c r="D33" s="10"/>
    </row>
    <row r="34" spans="1:4" ht="17.100000000000001" customHeight="1" thickBot="1" x14ac:dyDescent="0.3">
      <c r="A34" s="7"/>
      <c r="B34" s="12">
        <v>9</v>
      </c>
      <c r="C34" s="13" t="s">
        <v>32</v>
      </c>
      <c r="D34" s="10"/>
    </row>
    <row r="35" spans="1:4" ht="17.100000000000001" customHeight="1" thickBot="1" x14ac:dyDescent="0.3">
      <c r="A35" s="7"/>
      <c r="B35" s="12">
        <v>10</v>
      </c>
      <c r="C35" s="13" t="s">
        <v>33</v>
      </c>
      <c r="D35" s="10"/>
    </row>
    <row r="36" spans="1:4" ht="17.100000000000001" customHeight="1" thickBot="1" x14ac:dyDescent="0.3">
      <c r="A36" s="7"/>
      <c r="B36" s="12">
        <v>11</v>
      </c>
      <c r="C36" s="13" t="s">
        <v>34</v>
      </c>
      <c r="D36" s="10"/>
    </row>
    <row r="37" spans="1:4" ht="17.100000000000001" customHeight="1" thickBot="1" x14ac:dyDescent="0.3">
      <c r="A37" s="7"/>
      <c r="B37" s="12">
        <v>12</v>
      </c>
      <c r="C37" s="13" t="s">
        <v>37</v>
      </c>
      <c r="D37" s="10"/>
    </row>
    <row r="38" spans="1:4" ht="17.100000000000001" customHeight="1" thickBot="1" x14ac:dyDescent="0.3">
      <c r="A38" s="7"/>
      <c r="B38" s="12">
        <v>13</v>
      </c>
      <c r="C38" s="13" t="s">
        <v>35</v>
      </c>
      <c r="D38" s="10"/>
    </row>
    <row r="39" spans="1:4" ht="17.100000000000001" customHeight="1" thickBot="1" x14ac:dyDescent="0.3">
      <c r="A39" s="7"/>
      <c r="B39" s="12">
        <v>14</v>
      </c>
      <c r="C39" s="13" t="s">
        <v>36</v>
      </c>
      <c r="D39" s="10"/>
    </row>
    <row r="40" spans="1:4" ht="17.100000000000001" customHeight="1" thickBot="1" x14ac:dyDescent="0.3">
      <c r="A40" s="9"/>
      <c r="B40" s="12">
        <v>15</v>
      </c>
      <c r="C40" s="13" t="s">
        <v>23</v>
      </c>
      <c r="D40" s="10"/>
    </row>
    <row r="41" spans="1:4" ht="9.9499999999999993" customHeight="1" x14ac:dyDescent="0.25">
      <c r="A41" s="3"/>
      <c r="B41" s="6"/>
      <c r="C41" s="6"/>
      <c r="D41" s="3"/>
    </row>
  </sheetData>
  <mergeCells count="1">
    <mergeCell ref="B12:B2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13CC-80AF-4B57-9909-B7BD9209B131}">
  <sheetPr codeName="Sheet4"/>
  <dimension ref="A1:E52"/>
  <sheetViews>
    <sheetView workbookViewId="0">
      <selection activeCell="E49" sqref="E4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89"/>
      <c r="C14" s="25"/>
      <c r="D14" s="10"/>
    </row>
    <row r="15" spans="1:4" ht="17.100000000000001" customHeight="1" thickBot="1" x14ac:dyDescent="0.3">
      <c r="A15" s="7"/>
      <c r="B15" s="89"/>
      <c r="C15" s="30" t="s">
        <v>19</v>
      </c>
      <c r="D15" s="10"/>
    </row>
    <row r="16" spans="1:4" ht="17.100000000000001" customHeight="1" thickBot="1" x14ac:dyDescent="0.3">
      <c r="A16" s="7"/>
      <c r="B16" s="89"/>
      <c r="C16" s="31" t="s">
        <v>18</v>
      </c>
      <c r="D16" s="10"/>
    </row>
    <row r="17" spans="1:4" ht="17.100000000000001" customHeight="1" thickBot="1" x14ac:dyDescent="0.3">
      <c r="A17" s="7"/>
      <c r="B17" s="90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91">
        <v>1</v>
      </c>
      <c r="C20" s="25" t="s">
        <v>51</v>
      </c>
      <c r="D20" s="10"/>
    </row>
    <row r="21" spans="1:4" ht="17.100000000000001" customHeight="1" thickBot="1" x14ac:dyDescent="0.3">
      <c r="A21" s="7"/>
      <c r="B21" s="89"/>
      <c r="C21" s="31" t="s">
        <v>49</v>
      </c>
      <c r="D21" s="10"/>
    </row>
    <row r="22" spans="1:4" ht="17.100000000000001" customHeight="1" thickBot="1" x14ac:dyDescent="0.3">
      <c r="A22" s="7"/>
      <c r="B22" s="90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91">
        <v>16</v>
      </c>
      <c r="C38" s="35" t="s">
        <v>46</v>
      </c>
      <c r="D38" s="10"/>
    </row>
    <row r="39" spans="1:5" ht="17.100000000000001" customHeight="1" thickBot="1" x14ac:dyDescent="0.3">
      <c r="A39" s="9"/>
      <c r="B39" s="89"/>
      <c r="C39" s="36" t="s">
        <v>47</v>
      </c>
      <c r="D39" s="10"/>
    </row>
    <row r="40" spans="1:5" ht="17.100000000000001" customHeight="1" thickBot="1" x14ac:dyDescent="0.3">
      <c r="A40" s="9"/>
      <c r="B40" s="90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138</v>
      </c>
      <c r="E46" t="str">
        <f ca="1">IF(C46&gt;=160, DEC2HEX(C46,3), DEC2HEX(C46,2))</f>
        <v>8A</v>
      </c>
    </row>
    <row r="48" spans="1:5" x14ac:dyDescent="0.25">
      <c r="C48" s="39" t="s">
        <v>55</v>
      </c>
      <c r="E48" t="s">
        <v>54</v>
      </c>
    </row>
    <row r="49" spans="3:5" x14ac:dyDescent="0.25">
      <c r="C49">
        <f ca="1">RANDBETWEEN(0, 65535)</f>
        <v>19862</v>
      </c>
      <c r="E49" t="str">
        <f ca="1">IF(C49&gt;=40960, DEC2HEX(C49,5), DEC2HEX(C49,4))</f>
        <v>4D96</v>
      </c>
    </row>
    <row r="51" spans="3:5" x14ac:dyDescent="0.25">
      <c r="E51" t="str" cm="1">
        <f t="array" aca="1" ref="E51" ca="1">_xlfn.IFS(C46 &lt; 10, DEC2HEX(C46,1), C46 &lt; 160, DEC2HEX(C46,2), C46 &lt; 2560, DEC2HEX(C46,3))</f>
        <v>8A</v>
      </c>
    </row>
    <row r="52" spans="3:5" x14ac:dyDescent="0.25">
      <c r="E52" t="str" cm="1">
        <f t="array" aca="1" ref="E52" ca="1">_xlfn.IFS(C49 &lt; 10, DEC2HEX(C49, 1), C49 &lt; 160, DEC2HEX(C49, 2), C49 &lt; 2560, DEC2HEX(C49, 3), C49 &lt; 40960, DEC2HEX(C49, 4), TRUE, DEC2HEX(C49, 5))</f>
        <v>4D96</v>
      </c>
    </row>
  </sheetData>
  <mergeCells count="3">
    <mergeCell ref="B14:B17"/>
    <mergeCell ref="B38:B40"/>
    <mergeCell ref="B20:B2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08DFF-CA2B-42AA-9175-8A5EF0A33BF2}">
  <sheetPr codeName="Sheet5"/>
  <dimension ref="A1:F57"/>
  <sheetViews>
    <sheetView topLeftCell="A28" workbookViewId="0">
      <selection activeCell="C17" sqref="C1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89"/>
      <c r="C14" s="25" t="str">
        <f ca="1">_xlfn.CONCAT("  var1 DW ", E46)</f>
        <v xml:space="preserve">  var1 DW 29h</v>
      </c>
      <c r="D14" s="10"/>
    </row>
    <row r="15" spans="1:4" ht="17.100000000000001" customHeight="1" thickBot="1" x14ac:dyDescent="0.3">
      <c r="A15" s="7"/>
      <c r="B15" s="89"/>
      <c r="C15" s="30" t="s">
        <v>19</v>
      </c>
      <c r="D15" s="10"/>
    </row>
    <row r="16" spans="1:4" ht="17.100000000000001" customHeight="1" thickBot="1" x14ac:dyDescent="0.3">
      <c r="A16" s="7"/>
      <c r="B16" s="89"/>
      <c r="C16" s="31" t="s">
        <v>18</v>
      </c>
      <c r="D16" s="10"/>
    </row>
    <row r="17" spans="1:4" ht="17.100000000000001" customHeight="1" thickBot="1" x14ac:dyDescent="0.3">
      <c r="A17" s="7"/>
      <c r="B17" s="90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91">
        <v>1</v>
      </c>
      <c r="C20" s="25" t="s">
        <v>51</v>
      </c>
      <c r="D20" s="10"/>
    </row>
    <row r="21" spans="1:4" ht="17.100000000000001" customHeight="1" thickBot="1" x14ac:dyDescent="0.3">
      <c r="A21" s="7"/>
      <c r="B21" s="89"/>
      <c r="C21" s="31" t="s">
        <v>49</v>
      </c>
      <c r="D21" s="10"/>
    </row>
    <row r="22" spans="1:4" ht="17.100000000000001" customHeight="1" thickBot="1" x14ac:dyDescent="0.3">
      <c r="A22" s="7"/>
      <c r="B22" s="90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91">
        <v>16</v>
      </c>
      <c r="C38" s="35" t="s">
        <v>46</v>
      </c>
      <c r="D38" s="10"/>
    </row>
    <row r="39" spans="1:5" ht="17.100000000000001" customHeight="1" thickBot="1" x14ac:dyDescent="0.3">
      <c r="A39" s="9"/>
      <c r="B39" s="89"/>
      <c r="C39" s="36" t="s">
        <v>47</v>
      </c>
      <c r="D39" s="10"/>
    </row>
    <row r="40" spans="1:5" ht="17.100000000000001" customHeight="1" thickBot="1" x14ac:dyDescent="0.3">
      <c r="A40" s="9"/>
      <c r="B40" s="90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41</v>
      </c>
      <c r="E46" t="str">
        <f ca="1">_xlfn.CONCAT(_xlfn.IFS(C46 &lt; 10, DEC2HEX(C46, 1), C46 &lt; 160, DEC2HEX(C46, 2), C46 &lt; 2560, DEC2HEX(C46, 3), C46 &lt; 40960, DEC2HEX(C46, 4), TRUE, DEC2HEX(C46, 5)), "h")</f>
        <v>29h</v>
      </c>
    </row>
    <row r="48" spans="1:5" x14ac:dyDescent="0.25">
      <c r="C48" s="39" t="s">
        <v>55</v>
      </c>
      <c r="E48" t="s">
        <v>54</v>
      </c>
    </row>
    <row r="49" spans="3:6" x14ac:dyDescent="0.25">
      <c r="C49">
        <f ca="1">RANDBETWEEN(0, 65535)</f>
        <v>43310</v>
      </c>
      <c r="E49" t="str">
        <f ca="1">_xlfn.CONCAT(_xlfn.IFS(C49 &lt; 10, DEC2HEX(C49, 1), C49 &lt; 160, DEC2HEX(C49, 2), C49 &lt; 2560, DEC2HEX(C49, 3), C49 &lt; 40960, DEC2HEX(C49, 4), TRUE, DEC2HEX(C49, 5)), "h")</f>
        <v>0A92Eh</v>
      </c>
    </row>
    <row r="51" spans="3:6" x14ac:dyDescent="0.25">
      <c r="C51" s="39" t="s">
        <v>56</v>
      </c>
      <c r="E51" t="s">
        <v>54</v>
      </c>
    </row>
    <row r="52" spans="3:6" x14ac:dyDescent="0.25">
      <c r="C52">
        <f ca="1">RANDBETWEEN(256, 65535)</f>
        <v>18872</v>
      </c>
      <c r="E52" t="str">
        <f ca="1">_xlfn.CONCAT(_xlfn.IFS(C52 &lt; 10, DEC2HEX(C52, 1), C52 &lt; 160, DEC2HEX(C52, 2), C52 &lt; 2560, DEC2HEX(C52, 3), C52 &lt; 40960, DEC2HEX(C52, 4), TRUE, DEC2HEX(C52, 5)), "h")</f>
        <v>49B8h</v>
      </c>
    </row>
    <row r="54" spans="3:6" x14ac:dyDescent="0.25">
      <c r="C54" s="39" t="s">
        <v>57</v>
      </c>
      <c r="E54" t="s">
        <v>54</v>
      </c>
    </row>
    <row r="55" spans="3:6" x14ac:dyDescent="0.25">
      <c r="C55">
        <f ca="1">RANDBETWEEN(65536, 4294967295)</f>
        <v>3386277614</v>
      </c>
      <c r="E55" t="str">
        <f ca="1">_xlfn.CONCAT( _xlfn.IFS( C55 &lt; HEX2DEC("A"), DEC2HEX(C55, 1), C55 &lt; HEX2DEC("A0"), DEC2HEX(C55, 2), C55 &lt; HEX2DEC("A00"), DEC2HEX(C55, 3), C55 &lt; HEX2DEC("A000"), DEC2HEX(C55, 4), C55 &lt; HEX2DEC("A0000"), DEC2HEX(C55, 5), C55 &lt; HEX2DEC("A00000"), DEC2HEX(C55, 6), C55 &lt; HEX2DEC("A000000"), DEC2HEX(C55, 7), C55 &lt; HEX2DEC("A0000000"), DEC2HEX(C55, 8), TRUE, DEC2HEX(C55, 9) ), "h" )</f>
        <v>0C9D67EEEh</v>
      </c>
      <c r="F55">
        <f>HEX2DEC("A0000000")</f>
        <v>2684354560</v>
      </c>
    </row>
    <row r="57" spans="3:6" x14ac:dyDescent="0.25">
      <c r="C57">
        <f ca="1">RANDBETWEEN(0,255)</f>
        <v>44</v>
      </c>
      <c r="E57" t="str">
        <f ca="1">_xlfn.CONCAT(_xlfn.IFS(C57 &lt; HEX2DEC("A"), DEC2HEX(C57, 1), C57 &lt; HEX2DEC("A0"), DEC2HEX(C57, 2),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9)), "h")</f>
        <v>2Ch</v>
      </c>
    </row>
  </sheetData>
  <mergeCells count="3">
    <mergeCell ref="B14:B17"/>
    <mergeCell ref="B20:B22"/>
    <mergeCell ref="B38:B40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CA5D-3102-429E-93A2-9BAD73AA2F71}">
  <sheetPr codeName="Sheet6"/>
  <dimension ref="A1:E60"/>
  <sheetViews>
    <sheetView topLeftCell="A22" workbookViewId="0">
      <selection activeCell="C25" sqref="C25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66</v>
      </c>
      <c r="D4" s="10"/>
    </row>
    <row r="5" spans="1:4" ht="15.75" thickBot="1" x14ac:dyDescent="0.3">
      <c r="A5" s="8"/>
      <c r="B5" s="26"/>
      <c r="C5" s="25" t="s">
        <v>39</v>
      </c>
      <c r="D5" s="10"/>
    </row>
    <row r="6" spans="1:4" ht="15.75" thickBot="1" x14ac:dyDescent="0.3">
      <c r="A6" s="8"/>
      <c r="B6" s="26"/>
      <c r="C6" s="27"/>
      <c r="D6" s="10"/>
    </row>
    <row r="7" spans="1:4" ht="15.75" thickBot="1" x14ac:dyDescent="0.3">
      <c r="A7" s="8"/>
      <c r="B7" s="26"/>
      <c r="C7" s="27" t="s">
        <v>20</v>
      </c>
      <c r="D7" s="10"/>
    </row>
    <row r="8" spans="1:4" ht="15.75" thickBot="1" x14ac:dyDescent="0.3">
      <c r="A8" s="8"/>
      <c r="B8" s="26"/>
      <c r="C8" s="27" t="str">
        <f ca="1">_xlfn.CONCAT(".stack ", C60)</f>
        <v>.stack 610</v>
      </c>
      <c r="D8" s="10"/>
    </row>
    <row r="9" spans="1:4" ht="16.5" customHeight="1" thickBot="1" x14ac:dyDescent="0.3">
      <c r="A9" s="7"/>
      <c r="B9" s="28"/>
      <c r="C9" s="29" t="s">
        <v>16</v>
      </c>
      <c r="D9" s="10"/>
    </row>
    <row r="10" spans="1:4" ht="17.100000000000001" customHeight="1" thickBot="1" x14ac:dyDescent="0.3">
      <c r="A10" s="7"/>
      <c r="B10" s="89"/>
      <c r="C10" s="30" t="str">
        <f ca="1">_xlfn.CONCAT("  var1 DW ", E49)</f>
        <v xml:space="preserve">  var1 DW 184Eh</v>
      </c>
      <c r="D10" s="10"/>
    </row>
    <row r="11" spans="1:4" ht="17.100000000000001" customHeight="1" thickBot="1" x14ac:dyDescent="0.3">
      <c r="A11" s="7"/>
      <c r="B11" s="89"/>
      <c r="C11" s="31" t="str">
        <f ca="1">_xlfn.CONCAT("  var2 DW ", E50)</f>
        <v xml:space="preserve">  var2 DW 7402h</v>
      </c>
      <c r="D11" s="10"/>
    </row>
    <row r="12" spans="1:4" ht="17.100000000000001" customHeight="1" thickBot="1" x14ac:dyDescent="0.3">
      <c r="A12" s="7"/>
      <c r="B12" s="89"/>
      <c r="C12" s="31" t="str">
        <f ca="1">_xlfn.CONCAT("  var3 DD ", E56)</f>
        <v xml:space="preserve">  var3 DD 0F5276A62h</v>
      </c>
      <c r="D12" s="10"/>
    </row>
    <row r="13" spans="1:4" ht="17.100000000000001" customHeight="1" thickBot="1" x14ac:dyDescent="0.3">
      <c r="A13" s="7"/>
      <c r="B13" s="89"/>
      <c r="C13" s="32" t="str">
        <f ca="1">_xlfn.CONCAT("  var4 DB ", E47)</f>
        <v xml:space="preserve">  var4 DB 8h</v>
      </c>
      <c r="D13" s="10"/>
    </row>
    <row r="14" spans="1:4" ht="17.100000000000001" customHeight="1" thickBot="1" x14ac:dyDescent="0.3">
      <c r="A14" s="7"/>
      <c r="B14" s="90"/>
      <c r="C14" s="32" t="s">
        <v>67</v>
      </c>
      <c r="D14" s="10"/>
    </row>
    <row r="15" spans="1:4" ht="17.100000000000001" customHeight="1" thickBot="1" x14ac:dyDescent="0.3">
      <c r="A15" s="7"/>
      <c r="B15" s="28"/>
      <c r="C15" s="33" t="s">
        <v>21</v>
      </c>
      <c r="D15" s="10"/>
    </row>
    <row r="16" spans="1:4" ht="17.100000000000001" customHeight="1" thickBot="1" x14ac:dyDescent="0.3">
      <c r="A16" s="7"/>
      <c r="B16" s="28"/>
      <c r="C16" s="33" t="s">
        <v>22</v>
      </c>
      <c r="D16" s="10"/>
    </row>
    <row r="17" spans="1:4" ht="17.100000000000001" customHeight="1" thickBot="1" x14ac:dyDescent="0.3">
      <c r="A17" s="7"/>
      <c r="B17" s="91">
        <v>1</v>
      </c>
      <c r="C17" s="25" t="s">
        <v>51</v>
      </c>
      <c r="D17" s="10"/>
    </row>
    <row r="18" spans="1:4" ht="17.100000000000001" customHeight="1" thickBot="1" x14ac:dyDescent="0.3">
      <c r="A18" s="7"/>
      <c r="B18" s="89"/>
      <c r="C18" s="31" t="s">
        <v>49</v>
      </c>
      <c r="D18" s="10"/>
    </row>
    <row r="19" spans="1:4" ht="17.100000000000001" customHeight="1" thickBot="1" x14ac:dyDescent="0.3">
      <c r="A19" s="7"/>
      <c r="B19" s="90"/>
      <c r="C19" s="32" t="s">
        <v>50</v>
      </c>
      <c r="D19" s="10"/>
    </row>
    <row r="20" spans="1:4" ht="17.100000000000001" customHeight="1" thickBot="1" x14ac:dyDescent="0.3">
      <c r="A20" s="7"/>
      <c r="B20" s="28"/>
      <c r="C20" s="33" t="s">
        <v>52</v>
      </c>
      <c r="D20" s="10"/>
    </row>
    <row r="21" spans="1:4" ht="17.100000000000001" customHeight="1" thickBot="1" x14ac:dyDescent="0.3">
      <c r="A21" s="7"/>
      <c r="B21" s="28"/>
      <c r="C21" s="33" t="str">
        <f ca="1">_xlfn.CONCAT("  mov AX ", E54)</f>
        <v xml:space="preserve">  mov AX 7285h</v>
      </c>
      <c r="D21" s="10"/>
    </row>
    <row r="22" spans="1:4" ht="17.100000000000001" customHeight="1" thickBot="1" x14ac:dyDescent="0.3">
      <c r="A22" s="7"/>
      <c r="B22" s="28"/>
      <c r="C22" s="33" t="s">
        <v>69</v>
      </c>
      <c r="D22" s="10"/>
    </row>
    <row r="23" spans="1:4" ht="17.100000000000001" customHeight="1" thickBot="1" x14ac:dyDescent="0.3">
      <c r="A23" s="7"/>
      <c r="B23" s="28"/>
      <c r="C23" s="33" t="s">
        <v>70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91">
        <v>16</v>
      </c>
      <c r="C38" s="35" t="s">
        <v>46</v>
      </c>
      <c r="D38" s="10"/>
    </row>
    <row r="39" spans="1:5" ht="17.100000000000001" customHeight="1" thickBot="1" x14ac:dyDescent="0.3">
      <c r="A39" s="9"/>
      <c r="B39" s="89"/>
      <c r="C39" s="36" t="s">
        <v>47</v>
      </c>
      <c r="D39" s="10"/>
    </row>
    <row r="40" spans="1:5" ht="17.100000000000001" customHeight="1" thickBot="1" x14ac:dyDescent="0.3">
      <c r="A40" s="9"/>
      <c r="B40" s="90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t="s">
        <v>62</v>
      </c>
      <c r="E45" t="s">
        <v>63</v>
      </c>
    </row>
    <row r="46" spans="1:5" x14ac:dyDescent="0.25">
      <c r="C46" s="39" t="s">
        <v>58</v>
      </c>
    </row>
    <row r="47" spans="1:5" x14ac:dyDescent="0.25">
      <c r="C47">
        <f ca="1">RANDBETWEEN(0,255)</f>
        <v>8</v>
      </c>
      <c r="E47" t="str">
        <f ca="1">_xlfn.CONCAT( _xlfn.IFS( C47 &lt; HEX2DEC("A"), DEC2HEX(C47, 1), C47 &lt; HEX2DEC("A0"), DEC2HEX(C47, 2), C47 &lt; HEX2DEC("A00"), DEC2HEX(C47, 3), C47 &lt; HEX2DEC("A000"), DEC2HEX(C47, 4), C47 &lt; HEX2DEC("A0000"), DEC2HEX(C47, 5), C47 &lt; HEX2DEC("A00000"), DEC2HEX(C47, 6), C47 &lt; HEX2DEC("A000000"), DEC2HEX(C47, 7), C47 &lt; HEX2DEC("A0000000"), DEC2HEX(C47, 8), TRUE, DEC2HEX(C47, 9) ), "h" )</f>
        <v>8h</v>
      </c>
    </row>
    <row r="48" spans="1:5" x14ac:dyDescent="0.25">
      <c r="C48" s="39" t="s">
        <v>59</v>
      </c>
    </row>
    <row r="49" spans="3:5" x14ac:dyDescent="0.25">
      <c r="C49">
        <f ca="1">RANDBETWEEN(0, 65535)</f>
        <v>6222</v>
      </c>
      <c r="E49" t="str">
        <f ca="1">_xlfn.CONCAT( _xlfn.IFS( C49 &lt; HEX2DEC("A"), DEC2HEX(C49, 1), C49 &lt; HEX2DEC("A0"), DEC2HEX(C49, 2), C49 &lt; HEX2DEC("A00"), DEC2HEX(C49, 3), C49 &lt; HEX2DEC("A000"), DEC2HEX(C49, 4), C49 &lt; HEX2DEC("A0000"), DEC2HEX(C49, 5), C49 &lt; HEX2DEC("A00000"), DEC2HEX(C49, 6), C49 &lt; HEX2DEC("A000000"), DEC2HEX(C49, 7), C49 &lt; HEX2DEC("A0000000"), DEC2HEX(C49, 8), TRUE, DEC2HEX(C49, 9) ), "h" )</f>
        <v>184Eh</v>
      </c>
    </row>
    <row r="50" spans="3:5" x14ac:dyDescent="0.25">
      <c r="C50">
        <f ca="1">RANDBETWEEN(0, 65535)</f>
        <v>29698</v>
      </c>
      <c r="E50" t="str">
        <f ca="1">_xlfn.CONCAT( _xlfn.IFS( C50 &lt; HEX2DEC("A"), DEC2HEX(C50, 1), C50 &lt; HEX2DEC("A0"), DEC2HEX(C50, 2), C50 &lt; HEX2DEC("A00"), DEC2HEX(C50, 3), C50 &lt; HEX2DEC("A000"), DEC2HEX(C50, 4), C50 &lt; HEX2DEC("A0000"), DEC2HEX(C50, 5), C50 &lt; HEX2DEC("A00000"), DEC2HEX(C50, 6), C50 &lt; HEX2DEC("A000000"), DEC2HEX(C50, 7), C50 &lt; HEX2DEC("A0000000"), DEC2HEX(C50, 8), TRUE, DEC2HEX(C50, 9) ), "h" )</f>
        <v>7402h</v>
      </c>
    </row>
    <row r="51" spans="3:5" x14ac:dyDescent="0.25">
      <c r="C51" s="39" t="s">
        <v>60</v>
      </c>
    </row>
    <row r="52" spans="3:5" x14ac:dyDescent="0.25">
      <c r="C52">
        <f ca="1">RANDBETWEEN(256, 65535)</f>
        <v>37582</v>
      </c>
      <c r="E52" t="str">
        <f ca="1">_xlfn.CONCAT( _xlfn.IFS( C52 &lt; HEX2DEC("A"), DEC2HEX(C52, 1), C52 &lt; HEX2DEC("A0"), DEC2HEX(C52, 2), C52 &lt; HEX2DEC("A00"), DEC2HEX(C52, 3), C52 &lt; HEX2DEC("A000"), DEC2HEX(C52, 4), C52 &lt; HEX2DEC("A0000"), DEC2HEX(C52, 5), C52 &lt; HEX2DEC("A00000"), DEC2HEX(C52, 6), C52 &lt; HEX2DEC("A000000"), DEC2HEX(C52, 7), C52 &lt; HEX2DEC("A0000000"), DEC2HEX(C52, 8), TRUE, DEC2HEX(C52, 9) ), "h" )</f>
        <v>92CEh</v>
      </c>
    </row>
    <row r="53" spans="3:5" x14ac:dyDescent="0.25">
      <c r="C53" s="39" t="s">
        <v>68</v>
      </c>
    </row>
    <row r="54" spans="3:5" x14ac:dyDescent="0.25">
      <c r="C54">
        <f ca="1">RANDBETWEEN(HEX2DEC("1000"), 65535)</f>
        <v>29317</v>
      </c>
      <c r="E54" t="str">
        <f ca="1">_xlfn.CONCAT( _xlfn.IFS( C54 &lt; HEX2DEC("A"), DEC2HEX(C54, 1), C54 &lt; HEX2DEC("A0"), DEC2HEX(C54, 2), C54 &lt; HEX2DEC("A00"), DEC2HEX(C54, 3), C54 &lt; HEX2DEC("A000"), DEC2HEX(C54, 4), C54 &lt; HEX2DEC("A0000"), DEC2HEX(C54, 5), C54 &lt; HEX2DEC("A00000"), DEC2HEX(C54, 6), C54 &lt; HEX2DEC("A000000"), DEC2HEX(C54, 7), C54 &lt; HEX2DEC("A0000000"), DEC2HEX(C54, 8), TRUE, DEC2HEX(C54, 9) ), "h" )</f>
        <v>7285h</v>
      </c>
    </row>
    <row r="55" spans="3:5" x14ac:dyDescent="0.25">
      <c r="C55" s="39" t="s">
        <v>61</v>
      </c>
    </row>
    <row r="56" spans="3:5" x14ac:dyDescent="0.25">
      <c r="C56">
        <f ca="1">RANDBETWEEN(65536, 4294967295)</f>
        <v>4113001058</v>
      </c>
      <c r="E56" t="str">
        <f ca="1">_xlfn.CONCAT( _xlfn.IFS( C56 &lt; HEX2DEC("A"), DEC2HEX(C56, 1), C56 &lt; HEX2DEC("A0"), DEC2HEX(C56, 2), C56 &lt; HEX2DEC("A00"), DEC2HEX(C56, 3), C56 &lt; HEX2DEC("A000"), DEC2HEX(C56, 4), C56 &lt; HEX2DEC("A0000"), DEC2HEX(C56, 5), C56 &lt; HEX2DEC("A00000"), DEC2HEX(C56, 6), C56 &lt; HEX2DEC("A000000"), DEC2HEX(C56, 7), C56 &lt; HEX2DEC("A0000000"), DEC2HEX(C56, 8), TRUE, DEC2HEX(C56, 9) ), "h" )</f>
        <v>0F5276A62h</v>
      </c>
    </row>
    <row r="57" spans="3:5" x14ac:dyDescent="0.25">
      <c r="C57" t="s">
        <v>64</v>
      </c>
    </row>
    <row r="58" spans="3:5" x14ac:dyDescent="0.25">
      <c r="C58">
        <f ca="1">EVEN(RANDBETWEEN(100, 2048))</f>
        <v>618</v>
      </c>
      <c r="E58" t="str">
        <f ca="1">_xlfn.CONCAT( _xlfn.IFS( C58 &lt; HEX2DEC("A"), DEC2HEX(C58, 1), C58 &lt; HEX2DEC("A0"), DEC2HEX(C58, 2), C58 &lt; HEX2DEC("A00"), DEC2HEX(C58, 3), C58 &lt; HEX2DEC("A000"), DEC2HEX(C58, 4), C58 &lt; HEX2DEC("A0000"), DEC2HEX(C58, 5), C58 &lt; HEX2DEC("A00000"), DEC2HEX(C58, 6), C58 &lt; HEX2DEC("A000000"), DEC2HEX(C58, 7), C58 &lt; HEX2DEC("A0000000"), DEC2HEX(C58, 8), TRUE, DEC2HEX(C58, 9) ), "h" )</f>
        <v>26Ah</v>
      </c>
    </row>
    <row r="59" spans="3:5" x14ac:dyDescent="0.25">
      <c r="C59" t="s">
        <v>65</v>
      </c>
    </row>
    <row r="60" spans="3:5" x14ac:dyDescent="0.25">
      <c r="C60">
        <f ca="1">ROUNDDOWN(C58/100, 1) * 100</f>
        <v>610</v>
      </c>
    </row>
  </sheetData>
  <mergeCells count="3">
    <mergeCell ref="B10:B14"/>
    <mergeCell ref="B17:B19"/>
    <mergeCell ref="B38:B40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5867-DBEE-4FCE-B79A-5799140755F5}">
  <sheetPr codeName="Sheet7"/>
  <dimension ref="A1:E70"/>
  <sheetViews>
    <sheetView topLeftCell="A18" workbookViewId="0">
      <selection activeCell="C31" sqref="C3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6.5" thickBot="1" x14ac:dyDescent="0.3">
      <c r="A3" s="8"/>
      <c r="B3" s="24"/>
      <c r="C3" s="40"/>
      <c r="D3" s="10"/>
    </row>
    <row r="4" spans="1:4" ht="15.75" thickBot="1" x14ac:dyDescent="0.3">
      <c r="A4" s="8"/>
      <c r="B4" s="26"/>
      <c r="C4" s="25" t="s">
        <v>38</v>
      </c>
      <c r="D4" s="10"/>
    </row>
    <row r="5" spans="1:4" ht="15.75" thickBot="1" x14ac:dyDescent="0.3">
      <c r="A5" s="8"/>
      <c r="B5" s="26"/>
      <c r="C5" s="25" t="s">
        <v>66</v>
      </c>
      <c r="D5" s="10"/>
    </row>
    <row r="6" spans="1:4" ht="15.75" thickBot="1" x14ac:dyDescent="0.3">
      <c r="A6" s="8"/>
      <c r="B6" s="26"/>
      <c r="C6" s="25" t="s">
        <v>39</v>
      </c>
      <c r="D6" s="10"/>
    </row>
    <row r="7" spans="1:4" ht="15.75" thickBot="1" x14ac:dyDescent="0.3">
      <c r="A7" s="8"/>
      <c r="B7" s="26"/>
      <c r="C7" s="27"/>
      <c r="D7" s="10"/>
    </row>
    <row r="8" spans="1:4" ht="16.5" thickBot="1" x14ac:dyDescent="0.3">
      <c r="A8" s="8"/>
      <c r="B8" s="26"/>
      <c r="C8" s="42" t="s">
        <v>87</v>
      </c>
      <c r="D8" s="10"/>
    </row>
    <row r="9" spans="1:4" ht="15.75" thickBot="1" x14ac:dyDescent="0.3">
      <c r="A9" s="8"/>
      <c r="B9" s="26"/>
      <c r="C9" s="27"/>
      <c r="D9" s="10"/>
    </row>
    <row r="10" spans="1:4" ht="15.75" thickBot="1" x14ac:dyDescent="0.3">
      <c r="A10" s="8"/>
      <c r="B10" s="26"/>
      <c r="C10" s="27" t="s">
        <v>20</v>
      </c>
      <c r="D10" s="10"/>
    </row>
    <row r="11" spans="1:4" ht="15.75" thickBot="1" x14ac:dyDescent="0.3">
      <c r="A11" s="8"/>
      <c r="B11" s="26">
        <v>1</v>
      </c>
      <c r="C11" s="27" t="str">
        <f ca="1">_xlfn.CONCAT(".stack ", C70)</f>
        <v>.stack 910</v>
      </c>
      <c r="D11" s="10"/>
    </row>
    <row r="12" spans="1:4" ht="16.5" customHeight="1" thickBot="1" x14ac:dyDescent="0.3">
      <c r="A12" s="7"/>
      <c r="B12" s="28"/>
      <c r="C12" s="29" t="s">
        <v>16</v>
      </c>
      <c r="D12" s="10"/>
    </row>
    <row r="13" spans="1:4" ht="17.100000000000001" customHeight="1" thickBot="1" x14ac:dyDescent="0.3">
      <c r="A13" s="7"/>
      <c r="B13" s="89">
        <v>2</v>
      </c>
      <c r="C13" s="30" t="str">
        <f ca="1">_xlfn.CONCAT("  var1 DW ", E59)</f>
        <v xml:space="preserve">  var1 DW 128Bh</v>
      </c>
      <c r="D13" s="10"/>
    </row>
    <row r="14" spans="1:4" ht="17.100000000000001" customHeight="1" thickBot="1" x14ac:dyDescent="0.3">
      <c r="A14" s="7"/>
      <c r="B14" s="89"/>
      <c r="C14" s="31" t="str">
        <f ca="1">_xlfn.CONCAT("  var2 DW ", E60)</f>
        <v xml:space="preserve">  var2 DW 2CDDh</v>
      </c>
      <c r="D14" s="10"/>
    </row>
    <row r="15" spans="1:4" ht="17.100000000000001" customHeight="1" thickBot="1" x14ac:dyDescent="0.3">
      <c r="A15" s="7"/>
      <c r="B15" s="89"/>
      <c r="C15" s="31" t="str">
        <f ca="1">_xlfn.CONCAT("  var3 DD ", E66)</f>
        <v xml:space="preserve">  var3 DD 0F36899B7h</v>
      </c>
      <c r="D15" s="10"/>
    </row>
    <row r="16" spans="1:4" ht="17.100000000000001" customHeight="1" thickBot="1" x14ac:dyDescent="0.3">
      <c r="A16" s="7"/>
      <c r="B16" s="89"/>
      <c r="C16" s="32" t="str">
        <f ca="1">_xlfn.CONCAT("  var4 DB ", E57)</f>
        <v xml:space="preserve">  var4 DB 0B8h</v>
      </c>
      <c r="D16" s="10"/>
    </row>
    <row r="17" spans="1:4" ht="17.100000000000001" customHeight="1" thickBot="1" x14ac:dyDescent="0.3">
      <c r="A17" s="7"/>
      <c r="B17" s="90"/>
      <c r="C17" s="32" t="s">
        <v>67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x14ac:dyDescent="0.25">
      <c r="A20" s="7"/>
      <c r="B20" s="91">
        <v>3</v>
      </c>
      <c r="C20" s="41" t="s">
        <v>75</v>
      </c>
      <c r="D20" s="10"/>
    </row>
    <row r="21" spans="1:4" ht="17.100000000000001" customHeight="1" x14ac:dyDescent="0.25">
      <c r="A21" s="7"/>
      <c r="B21" s="89"/>
      <c r="C21" s="41" t="s">
        <v>76</v>
      </c>
      <c r="D21" s="10"/>
    </row>
    <row r="22" spans="1:4" ht="17.100000000000001" customHeight="1" thickBot="1" x14ac:dyDescent="0.3">
      <c r="A22" s="7"/>
      <c r="B22" s="90"/>
      <c r="C22" s="41" t="s">
        <v>77</v>
      </c>
      <c r="D22" s="10"/>
    </row>
    <row r="23" spans="1:4" ht="17.100000000000001" customHeight="1" thickBot="1" x14ac:dyDescent="0.3">
      <c r="A23" s="7"/>
      <c r="B23" s="28"/>
      <c r="C23" s="41" t="s">
        <v>78</v>
      </c>
      <c r="D23" s="10"/>
    </row>
    <row r="24" spans="1:4" ht="17.100000000000001" customHeight="1" thickBot="1" x14ac:dyDescent="0.3">
      <c r="A24" s="7"/>
      <c r="B24" s="28">
        <v>4</v>
      </c>
      <c r="C24" s="41" t="s">
        <v>79</v>
      </c>
      <c r="D24" s="10"/>
    </row>
    <row r="25" spans="1:4" ht="17.100000000000001" customHeight="1" thickBot="1" x14ac:dyDescent="0.3">
      <c r="A25" s="7"/>
      <c r="B25" s="28">
        <v>5</v>
      </c>
      <c r="C25" s="33" t="str">
        <f>_xlfn.CONCAT("  mov AX ", E58)</f>
        <v xml:space="preserve">  mov AX </v>
      </c>
      <c r="D25" s="10"/>
    </row>
    <row r="26" spans="1:4" ht="17.100000000000001" customHeight="1" thickBot="1" x14ac:dyDescent="0.3">
      <c r="A26" s="7"/>
      <c r="B26" s="28">
        <v>6</v>
      </c>
      <c r="C26" s="41" t="s">
        <v>80</v>
      </c>
      <c r="D26" s="10"/>
    </row>
    <row r="27" spans="1:4" ht="17.100000000000001" customHeight="1" thickBot="1" x14ac:dyDescent="0.3">
      <c r="A27" s="7"/>
      <c r="B27" s="28">
        <v>7</v>
      </c>
      <c r="C27" s="41" t="s">
        <v>81</v>
      </c>
      <c r="D27" s="10"/>
    </row>
    <row r="28" spans="1:4" ht="17.100000000000001" customHeight="1" thickBot="1" x14ac:dyDescent="0.3">
      <c r="A28" s="7"/>
      <c r="B28" s="28">
        <v>8</v>
      </c>
      <c r="C28" s="41" t="s">
        <v>81</v>
      </c>
      <c r="D28" s="10"/>
    </row>
    <row r="29" spans="1:4" ht="17.100000000000001" customHeight="1" thickBot="1" x14ac:dyDescent="0.3">
      <c r="A29" s="7"/>
      <c r="B29" s="28">
        <v>9</v>
      </c>
      <c r="C29" s="41" t="s">
        <v>82</v>
      </c>
      <c r="D29" s="10"/>
    </row>
    <row r="30" spans="1:4" ht="17.100000000000001" customHeight="1" thickBot="1" x14ac:dyDescent="0.3">
      <c r="A30" s="7"/>
      <c r="B30" s="28">
        <v>10</v>
      </c>
      <c r="C30" s="41" t="s">
        <v>83</v>
      </c>
      <c r="D30" s="10"/>
    </row>
    <row r="31" spans="1:4" ht="17.100000000000001" customHeight="1" thickBot="1" x14ac:dyDescent="0.3">
      <c r="A31" s="7"/>
      <c r="B31" s="28">
        <v>11</v>
      </c>
      <c r="C31" s="41" t="s">
        <v>84</v>
      </c>
      <c r="D31" s="10"/>
    </row>
    <row r="32" spans="1:4" ht="17.100000000000001" customHeight="1" thickBot="1" x14ac:dyDescent="0.3">
      <c r="A32" s="7"/>
      <c r="B32" s="28">
        <v>12</v>
      </c>
      <c r="C32" s="41" t="s">
        <v>85</v>
      </c>
      <c r="D32" s="10"/>
    </row>
    <row r="33" spans="1:4" ht="17.100000000000001" customHeight="1" thickBot="1" x14ac:dyDescent="0.3">
      <c r="A33" s="7"/>
      <c r="B33" s="28">
        <v>13</v>
      </c>
      <c r="C33" s="41" t="s">
        <v>86</v>
      </c>
      <c r="D33" s="10"/>
    </row>
    <row r="34" spans="1:4" ht="17.100000000000001" customHeight="1" thickBot="1" x14ac:dyDescent="0.3">
      <c r="A34" s="7"/>
      <c r="B34" s="28">
        <v>14</v>
      </c>
      <c r="C34" s="34"/>
      <c r="D34" s="10"/>
    </row>
    <row r="35" spans="1:4" ht="17.100000000000001" customHeight="1" thickBot="1" x14ac:dyDescent="0.3">
      <c r="A35" s="7"/>
      <c r="B35" s="28">
        <v>15</v>
      </c>
      <c r="C35" s="34"/>
      <c r="D35" s="10"/>
    </row>
    <row r="36" spans="1:4" ht="17.100000000000001" customHeight="1" thickBot="1" x14ac:dyDescent="0.3">
      <c r="A36" s="7"/>
      <c r="B36" s="28">
        <v>16</v>
      </c>
      <c r="C36" s="34" t="s">
        <v>26</v>
      </c>
      <c r="D36" s="10"/>
    </row>
    <row r="37" spans="1:4" ht="17.100000000000001" customHeight="1" thickBot="1" x14ac:dyDescent="0.3">
      <c r="A37" s="7"/>
      <c r="B37" s="28">
        <v>17</v>
      </c>
      <c r="C37" s="34" t="s">
        <v>27</v>
      </c>
      <c r="D37" s="10"/>
    </row>
    <row r="38" spans="1:4" ht="17.100000000000001" customHeight="1" thickBot="1" x14ac:dyDescent="0.3">
      <c r="A38" s="7"/>
      <c r="B38" s="28">
        <v>18</v>
      </c>
      <c r="C38" s="34" t="s">
        <v>28</v>
      </c>
      <c r="D38" s="10"/>
    </row>
    <row r="39" spans="1:4" ht="17.100000000000001" customHeight="1" thickBot="1" x14ac:dyDescent="0.3">
      <c r="A39" s="7"/>
      <c r="B39" s="28">
        <v>19</v>
      </c>
      <c r="C39" s="34" t="s">
        <v>29</v>
      </c>
      <c r="D39" s="10"/>
    </row>
    <row r="40" spans="1:4" ht="17.100000000000001" customHeight="1" thickBot="1" x14ac:dyDescent="0.3">
      <c r="A40" s="7"/>
      <c r="B40" s="28">
        <v>20</v>
      </c>
      <c r="C40" s="34" t="s">
        <v>30</v>
      </c>
      <c r="D40" s="10"/>
    </row>
    <row r="41" spans="1:4" ht="17.100000000000001" customHeight="1" thickBot="1" x14ac:dyDescent="0.3">
      <c r="A41" s="7"/>
      <c r="B41" s="28">
        <v>21</v>
      </c>
      <c r="C41" s="34" t="s">
        <v>31</v>
      </c>
      <c r="D41" s="10"/>
    </row>
    <row r="42" spans="1:4" ht="17.100000000000001" customHeight="1" thickBot="1" x14ac:dyDescent="0.3">
      <c r="A42" s="7"/>
      <c r="B42" s="28">
        <v>22</v>
      </c>
      <c r="C42" s="34" t="s">
        <v>32</v>
      </c>
      <c r="D42" s="10"/>
    </row>
    <row r="43" spans="1:4" ht="17.100000000000001" customHeight="1" thickBot="1" x14ac:dyDescent="0.3">
      <c r="A43" s="7"/>
      <c r="B43" s="28">
        <v>23</v>
      </c>
      <c r="C43" s="34" t="s">
        <v>33</v>
      </c>
      <c r="D43" s="10"/>
    </row>
    <row r="44" spans="1:4" ht="17.100000000000001" customHeight="1" thickBot="1" x14ac:dyDescent="0.3">
      <c r="A44" s="7"/>
      <c r="B44" s="28">
        <v>24</v>
      </c>
      <c r="C44" s="34" t="s">
        <v>34</v>
      </c>
      <c r="D44" s="10"/>
    </row>
    <row r="45" spans="1:4" ht="17.100000000000001" customHeight="1" thickBot="1" x14ac:dyDescent="0.3">
      <c r="A45" s="7"/>
      <c r="B45" s="28">
        <v>25</v>
      </c>
      <c r="C45" s="34" t="s">
        <v>37</v>
      </c>
      <c r="D45" s="10"/>
    </row>
    <row r="46" spans="1:4" ht="17.100000000000001" customHeight="1" thickBot="1" x14ac:dyDescent="0.3">
      <c r="A46" s="7"/>
      <c r="B46" s="28">
        <v>26</v>
      </c>
      <c r="C46" s="34" t="s">
        <v>35</v>
      </c>
      <c r="D46" s="10"/>
    </row>
    <row r="47" spans="1:4" ht="17.100000000000001" customHeight="1" thickBot="1" x14ac:dyDescent="0.3">
      <c r="A47" s="7"/>
      <c r="B47" s="28">
        <v>27</v>
      </c>
      <c r="C47" s="34" t="s">
        <v>36</v>
      </c>
      <c r="D47" s="10"/>
    </row>
    <row r="48" spans="1:4" ht="17.100000000000001" customHeight="1" thickBot="1" x14ac:dyDescent="0.3">
      <c r="A48" s="9"/>
      <c r="B48" s="91">
        <v>28</v>
      </c>
      <c r="C48" s="35" t="s">
        <v>46</v>
      </c>
      <c r="D48" s="10"/>
    </row>
    <row r="49" spans="1:5" ht="17.100000000000001" customHeight="1" thickBot="1" x14ac:dyDescent="0.3">
      <c r="A49" s="9"/>
      <c r="B49" s="89"/>
      <c r="C49" s="36" t="s">
        <v>47</v>
      </c>
      <c r="D49" s="10"/>
    </row>
    <row r="50" spans="1:5" ht="17.100000000000001" customHeight="1" thickBot="1" x14ac:dyDescent="0.3">
      <c r="A50" s="9"/>
      <c r="B50" s="90"/>
      <c r="C50" s="37" t="s">
        <v>48</v>
      </c>
      <c r="D50" s="10"/>
    </row>
    <row r="51" spans="1:5" ht="17.100000000000001" customHeight="1" thickBot="1" x14ac:dyDescent="0.3">
      <c r="A51" s="9"/>
      <c r="B51" s="28">
        <v>29</v>
      </c>
      <c r="C51" s="34" t="s">
        <v>23</v>
      </c>
      <c r="D51" s="10"/>
    </row>
    <row r="52" spans="1:5" ht="9.9499999999999993" customHeight="1" x14ac:dyDescent="0.25">
      <c r="A52" s="3"/>
      <c r="B52" s="22"/>
      <c r="C52" s="6"/>
      <c r="D52" s="3"/>
    </row>
    <row r="53" spans="1:5" ht="9.9499999999999993" customHeight="1" x14ac:dyDescent="0.25">
      <c r="A53" s="1"/>
      <c r="B53" s="38"/>
      <c r="C53" s="1"/>
      <c r="D53" s="1"/>
    </row>
    <row r="54" spans="1:5" ht="9.9499999999999993" customHeight="1" x14ac:dyDescent="0.25">
      <c r="A54" s="1"/>
      <c r="B54" s="38"/>
      <c r="C54" s="1"/>
      <c r="D54" s="1"/>
    </row>
    <row r="55" spans="1:5" x14ac:dyDescent="0.25">
      <c r="C55" t="s">
        <v>62</v>
      </c>
      <c r="E55" t="s">
        <v>63</v>
      </c>
    </row>
    <row r="56" spans="1:5" x14ac:dyDescent="0.25">
      <c r="C56" s="39" t="s">
        <v>58</v>
      </c>
    </row>
    <row r="57" spans="1:5" x14ac:dyDescent="0.25">
      <c r="C57">
        <f ca="1">RANDBETWEEN(0,255)</f>
        <v>184</v>
      </c>
      <c r="E57" t="str">
        <f ca="1">_xlfn.CONCAT( _xlfn.IFS( C57 &lt; HEX2DEC("A"), DEC2HEX(C57, 1), C57 &lt; HEX2DEC("A0"), DEC2HEX(C57, 2), C57 &lt;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 ), "h" )</f>
        <v>0B8h</v>
      </c>
    </row>
    <row r="58" spans="1:5" x14ac:dyDescent="0.25">
      <c r="C58" s="39" t="s">
        <v>59</v>
      </c>
    </row>
    <row r="59" spans="1:5" x14ac:dyDescent="0.25">
      <c r="C59">
        <f ca="1">RANDBETWEEN(0, 65535)</f>
        <v>4747</v>
      </c>
      <c r="E59" t="str">
        <f ca="1">_xlfn.CONCAT( _xlfn.IFS( C59 &lt; HEX2DEC("A"), DEC2HEX(C59, 1), C59 &lt; HEX2DEC("A0"), DEC2HEX(C59, 2), C59 &lt; HEX2DEC("A00"), DEC2HEX(C59, 3), C59 &lt; HEX2DEC("A000"), DEC2HEX(C59, 4), C59 &lt; HEX2DEC("A0000"), DEC2HEX(C59, 5), C59 &lt; HEX2DEC("A00000"), DEC2HEX(C59, 6), C59 &lt; HEX2DEC("A000000"), DEC2HEX(C59, 7), C59 &lt; HEX2DEC("A0000000"), DEC2HEX(C59, 8), TRUE, DEC2HEX(C59, 9) ), "h" )</f>
        <v>128Bh</v>
      </c>
    </row>
    <row r="60" spans="1:5" x14ac:dyDescent="0.25">
      <c r="C60">
        <f ca="1">RANDBETWEEN(0, 65535)</f>
        <v>11485</v>
      </c>
      <c r="E60" t="str">
        <f ca="1">_xlfn.CONCAT( _xlfn.IFS( C60 &lt; HEX2DEC("A"), DEC2HEX(C60, 1), C60 &lt; HEX2DEC("A0"), DEC2HEX(C60, 2), C60 &lt; HEX2DEC("A00"), DEC2HEX(C60, 3), C60 &lt; HEX2DEC("A000"), DEC2HEX(C60, 4), C60 &lt; HEX2DEC("A0000"), DEC2HEX(C60, 5), C60 &lt; HEX2DEC("A00000"), DEC2HEX(C60, 6), C60 &lt; HEX2DEC("A000000"), DEC2HEX(C60, 7), C60 &lt; HEX2DEC("A0000000"), DEC2HEX(C60, 8), TRUE, DEC2HEX(C60, 9) ), "h" )</f>
        <v>2CDDh</v>
      </c>
    </row>
    <row r="61" spans="1:5" x14ac:dyDescent="0.25">
      <c r="C61" s="39" t="s">
        <v>60</v>
      </c>
    </row>
    <row r="62" spans="1:5" x14ac:dyDescent="0.25">
      <c r="C62">
        <f ca="1">RANDBETWEEN(256, 65535)</f>
        <v>27502</v>
      </c>
      <c r="E62" t="str">
        <f ca="1">_xlfn.CONCAT( _xlfn.IFS( C62 &lt; HEX2DEC("A"), DEC2HEX(C62, 1), C62 &lt; HEX2DEC("A0"), DEC2HEX(C62, 2), C62 &lt; HEX2DEC("A00"), DEC2HEX(C62, 3), C62 &lt; HEX2DEC("A000"), DEC2HEX(C62, 4), C62 &lt; HEX2DEC("A0000"), DEC2HEX(C62, 5), C62 &lt; HEX2DEC("A00000"), DEC2HEX(C62, 6), C62 &lt; HEX2DEC("A000000"), DEC2HEX(C62, 7), C62 &lt; HEX2DEC("A0000000"), DEC2HEX(C62, 8), TRUE, DEC2HEX(C62, 9) ), "h" )</f>
        <v>6B6Eh</v>
      </c>
    </row>
    <row r="63" spans="1:5" x14ac:dyDescent="0.25">
      <c r="C63" s="39" t="s">
        <v>68</v>
      </c>
    </row>
    <row r="64" spans="1:5" x14ac:dyDescent="0.25">
      <c r="C64">
        <f ca="1">RANDBETWEEN(HEX2DEC("1000"), 65535)</f>
        <v>58088</v>
      </c>
      <c r="E64" t="str">
        <f ca="1">_xlfn.CONCAT( _xlfn.IFS( C64 &lt; HEX2DEC("A"), DEC2HEX(C64, 1), C64 &lt; HEX2DEC("A0"), DEC2HEX(C64, 2), C64 &lt; HEX2DEC("A00"), DEC2HEX(C64, 3), C64 &lt; HEX2DEC("A000"), DEC2HEX(C64, 4), C64 &lt; HEX2DEC("A0000"), DEC2HEX(C64, 5), C64 &lt; HEX2DEC("A00000"), DEC2HEX(C64, 6), C64 &lt; HEX2DEC("A000000"), DEC2HEX(C64, 7), C64 &lt; HEX2DEC("A0000000"), DEC2HEX(C64, 8), TRUE, DEC2HEX(C64, 9) ), "h" )</f>
        <v>0E2E8h</v>
      </c>
    </row>
    <row r="65" spans="3:5" x14ac:dyDescent="0.25">
      <c r="C65" s="39" t="s">
        <v>61</v>
      </c>
    </row>
    <row r="66" spans="3:5" x14ac:dyDescent="0.25">
      <c r="C66">
        <f ca="1">RANDBETWEEN(65536, 4294967295)</f>
        <v>4083718583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0F36899B7h</v>
      </c>
    </row>
    <row r="67" spans="3:5" x14ac:dyDescent="0.25">
      <c r="C67" t="s">
        <v>64</v>
      </c>
    </row>
    <row r="68" spans="3:5" x14ac:dyDescent="0.25">
      <c r="C68">
        <f ca="1">EVEN(RANDBETWEEN(100, 2048))</f>
        <v>918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396h</v>
      </c>
    </row>
    <row r="69" spans="3:5" x14ac:dyDescent="0.25">
      <c r="C69" t="s">
        <v>65</v>
      </c>
    </row>
    <row r="70" spans="3:5" x14ac:dyDescent="0.25">
      <c r="C70">
        <f ca="1">ROUNDDOWN(C68/100, 1) * 100</f>
        <v>910</v>
      </c>
    </row>
  </sheetData>
  <mergeCells count="3">
    <mergeCell ref="B13:B17"/>
    <mergeCell ref="B20:B22"/>
    <mergeCell ref="B48:B5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7C9-C36B-465A-9A89-A20328F97A54}">
  <sheetPr codeName="Sheet8"/>
  <dimension ref="A1:E139"/>
  <sheetViews>
    <sheetView topLeftCell="A43" workbookViewId="0">
      <selection activeCell="C56" sqref="C56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29.2851562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IF(C139="near",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114</v>
      </c>
      <c r="D6" s="10"/>
    </row>
    <row r="7" spans="1:4" ht="16.5" thickBot="1" x14ac:dyDescent="0.3">
      <c r="A7" s="8"/>
      <c r="B7" s="56"/>
      <c r="C7" s="57" t="s">
        <v>115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C120)</f>
        <v>masca equ 1100110011111111b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C107)</f>
        <v>.stack 140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79">
        <v>3</v>
      </c>
      <c r="C16" s="57" t="str">
        <f ca="1">_xlfn.CONCAT("  var1 DW ", E98)</f>
        <v xml:space="preserve">  var1 DW 4D6Bh</v>
      </c>
      <c r="D16" s="10"/>
    </row>
    <row r="17" spans="1:4" ht="17.100000000000001" customHeight="1" thickBot="1" x14ac:dyDescent="0.3">
      <c r="A17" s="7"/>
      <c r="B17" s="79"/>
      <c r="C17" s="57" t="str">
        <f ca="1">_xlfn.CONCAT("  var2 DW ", E99)</f>
        <v xml:space="preserve">  var2 DW 1C53h</v>
      </c>
      <c r="D17" s="10"/>
    </row>
    <row r="18" spans="1:4" ht="17.100000000000001" customHeight="1" thickBot="1" x14ac:dyDescent="0.3">
      <c r="A18" s="7"/>
      <c r="B18" s="79"/>
      <c r="C18" s="57" t="str">
        <f ca="1">_xlfn.CONCAT("  var3 DB ", E92)</f>
        <v xml:space="preserve">  var3 DB 6Dh</v>
      </c>
      <c r="D18" s="10"/>
    </row>
    <row r="19" spans="1:4" ht="17.100000000000001" customHeight="1" thickBot="1" x14ac:dyDescent="0.3">
      <c r="A19" s="7"/>
      <c r="B19" s="79"/>
      <c r="C19" s="57" t="str">
        <f ca="1">_xlfn.CONCAT("  var4 DB ", E93)</f>
        <v xml:space="preserve">  var4 DB 60h</v>
      </c>
      <c r="D19" s="10"/>
    </row>
    <row r="20" spans="1:4" ht="17.100000000000001" customHeight="1" thickBot="1" x14ac:dyDescent="0.3">
      <c r="A20" s="7"/>
      <c r="B20" s="79"/>
      <c r="C20" s="57" t="str">
        <f ca="1">_xlfn.CONCAT("  var5 DD ", E103)</f>
        <v xml:space="preserve">  var5 DD 0ED8EFEEDh</v>
      </c>
      <c r="D20" s="10"/>
    </row>
    <row r="21" spans="1:4" ht="17.100000000000001" customHeight="1" thickBot="1" x14ac:dyDescent="0.3">
      <c r="A21" s="7"/>
      <c r="B21" s="79"/>
      <c r="C21" s="57" t="s">
        <v>67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 t="str">
        <f ca="1">_xlfn.CONCAT("proc compNr ", C139)</f>
        <v>proc compNr far</v>
      </c>
      <c r="D23" s="10"/>
    </row>
    <row r="24" spans="1:4" ht="17.100000000000001" customHeight="1" thickBot="1" x14ac:dyDescent="0.3">
      <c r="A24" s="7"/>
      <c r="B24" s="59"/>
      <c r="C24" s="57" t="s">
        <v>116</v>
      </c>
      <c r="D24" s="10"/>
    </row>
    <row r="25" spans="1:4" ht="17.100000000000001" customHeight="1" thickBot="1" x14ac:dyDescent="0.3">
      <c r="A25" s="7"/>
      <c r="B25" s="59"/>
      <c r="C25" s="57" t="s">
        <v>117</v>
      </c>
      <c r="D25" s="10"/>
    </row>
    <row r="26" spans="1:4" ht="17.100000000000001" customHeight="1" thickBot="1" x14ac:dyDescent="0.3">
      <c r="A26" s="7"/>
      <c r="B26" s="59"/>
      <c r="C26" s="57" t="s">
        <v>149</v>
      </c>
      <c r="D26" s="10"/>
    </row>
    <row r="27" spans="1:4" ht="17.100000000000001" customHeight="1" thickBot="1" x14ac:dyDescent="0.3">
      <c r="A27" s="7"/>
      <c r="B27" s="59"/>
      <c r="C27" s="57" t="s">
        <v>118</v>
      </c>
      <c r="D27" s="10"/>
    </row>
    <row r="28" spans="1:4" ht="17.100000000000001" customHeight="1" thickBot="1" x14ac:dyDescent="0.3">
      <c r="A28" s="7"/>
      <c r="B28" s="59"/>
      <c r="C28" s="57" t="s">
        <v>119</v>
      </c>
      <c r="D28" s="10"/>
    </row>
    <row r="29" spans="1:4" ht="17.100000000000001" customHeight="1" thickBot="1" x14ac:dyDescent="0.3">
      <c r="A29" s="7"/>
      <c r="B29" s="59"/>
      <c r="C29" s="57" t="s">
        <v>120</v>
      </c>
      <c r="D29" s="10"/>
    </row>
    <row r="30" spans="1:4" ht="17.100000000000001" customHeight="1" thickBot="1" x14ac:dyDescent="0.3">
      <c r="A30" s="7"/>
      <c r="B30" s="59"/>
      <c r="C30" s="57" t="s">
        <v>121</v>
      </c>
      <c r="D30" s="10"/>
    </row>
    <row r="31" spans="1:4" ht="17.100000000000001" customHeight="1" thickBot="1" x14ac:dyDescent="0.3">
      <c r="A31" s="7"/>
      <c r="B31" s="59"/>
      <c r="C31" s="57" t="s">
        <v>122</v>
      </c>
      <c r="D31" s="10"/>
    </row>
    <row r="32" spans="1:4" ht="17.100000000000001" customHeight="1" thickBot="1" x14ac:dyDescent="0.3">
      <c r="A32" s="7"/>
      <c r="B32" s="59"/>
      <c r="C32" s="57" t="s">
        <v>123</v>
      </c>
      <c r="D32" s="10"/>
    </row>
    <row r="33" spans="1:4" ht="17.100000000000001" customHeight="1" thickBot="1" x14ac:dyDescent="0.3">
      <c r="A33" s="7"/>
      <c r="B33" s="59"/>
      <c r="C33" s="57" t="s">
        <v>124</v>
      </c>
      <c r="D33" s="10"/>
    </row>
    <row r="34" spans="1:4" ht="17.100000000000001" customHeight="1" thickBot="1" x14ac:dyDescent="0.3">
      <c r="A34" s="7"/>
      <c r="B34" s="59"/>
      <c r="C34" s="57" t="s">
        <v>125</v>
      </c>
      <c r="D34" s="10"/>
    </row>
    <row r="35" spans="1:4" ht="17.100000000000001" customHeight="1" thickBot="1" x14ac:dyDescent="0.3">
      <c r="A35" s="7"/>
      <c r="B35" s="59"/>
      <c r="C35" s="57" t="s">
        <v>123</v>
      </c>
      <c r="D35" s="10"/>
    </row>
    <row r="36" spans="1:4" ht="17.100000000000001" customHeight="1" thickBot="1" x14ac:dyDescent="0.3">
      <c r="A36" s="7"/>
      <c r="B36" s="59"/>
      <c r="C36" s="57" t="s">
        <v>126</v>
      </c>
      <c r="D36" s="10"/>
    </row>
    <row r="37" spans="1:4" ht="17.100000000000001" customHeight="1" thickBot="1" x14ac:dyDescent="0.3">
      <c r="A37" s="7"/>
      <c r="B37" s="59"/>
      <c r="C37" s="57" t="s">
        <v>127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128</v>
      </c>
      <c r="D39" s="10"/>
    </row>
    <row r="40" spans="1:4" ht="17.100000000000001" customHeight="1" thickBot="1" x14ac:dyDescent="0.3">
      <c r="A40" s="7"/>
      <c r="B40" s="59"/>
      <c r="C40" s="57" t="s">
        <v>150</v>
      </c>
      <c r="D40" s="10"/>
    </row>
    <row r="41" spans="1:4" ht="17.100000000000001" customHeight="1" thickBot="1" x14ac:dyDescent="0.3">
      <c r="A41" s="7"/>
      <c r="B41" s="59"/>
      <c r="C41" s="57" t="s">
        <v>131</v>
      </c>
      <c r="D41" s="10"/>
    </row>
    <row r="42" spans="1:4" ht="17.100000000000001" customHeight="1" thickBot="1" x14ac:dyDescent="0.3">
      <c r="A42" s="7"/>
      <c r="B42" s="59"/>
      <c r="C42" s="57" t="s">
        <v>129</v>
      </c>
      <c r="D42" s="10"/>
    </row>
    <row r="43" spans="1:4" ht="17.100000000000001" customHeight="1" thickBot="1" x14ac:dyDescent="0.3">
      <c r="A43" s="7"/>
      <c r="B43" s="59"/>
      <c r="C43" s="57" t="s">
        <v>130</v>
      </c>
      <c r="D43" s="10"/>
    </row>
    <row r="44" spans="1:4" ht="17.100000000000001" customHeight="1" thickBot="1" x14ac:dyDescent="0.3">
      <c r="A44" s="7"/>
      <c r="B44" s="59"/>
      <c r="C44" s="57"/>
      <c r="D44" s="10"/>
    </row>
    <row r="45" spans="1:4" ht="17.100000000000001" customHeight="1" thickBot="1" x14ac:dyDescent="0.3">
      <c r="A45" s="7"/>
      <c r="B45" s="59"/>
      <c r="C45" s="57" t="s">
        <v>22</v>
      </c>
      <c r="D45" s="10"/>
    </row>
    <row r="46" spans="1:4" ht="17.100000000000001" customHeight="1" thickBot="1" x14ac:dyDescent="0.3">
      <c r="A46" s="7"/>
      <c r="B46" s="80">
        <v>3</v>
      </c>
      <c r="C46" s="57" t="s">
        <v>51</v>
      </c>
      <c r="D46" s="10"/>
    </row>
    <row r="47" spans="1:4" ht="17.100000000000001" customHeight="1" thickBot="1" x14ac:dyDescent="0.3">
      <c r="A47" s="7"/>
      <c r="B47" s="81"/>
      <c r="C47" s="57" t="s">
        <v>49</v>
      </c>
      <c r="D47" s="10"/>
    </row>
    <row r="48" spans="1:4" ht="17.100000000000001" customHeight="1" thickBot="1" x14ac:dyDescent="0.3">
      <c r="A48" s="7"/>
      <c r="B48" s="82"/>
      <c r="C48" s="57" t="s">
        <v>50</v>
      </c>
      <c r="D48" s="10"/>
    </row>
    <row r="49" spans="1:4" ht="17.100000000000001" customHeight="1" thickBot="1" x14ac:dyDescent="0.3">
      <c r="A49" s="7"/>
      <c r="B49" s="59"/>
      <c r="C49" s="57" t="s">
        <v>52</v>
      </c>
      <c r="D49" s="10"/>
    </row>
    <row r="50" spans="1:4" ht="17.100000000000001" customHeight="1" thickBot="1" x14ac:dyDescent="0.3">
      <c r="A50" s="7"/>
      <c r="B50" s="59">
        <v>4</v>
      </c>
      <c r="C50" s="57" t="s">
        <v>132</v>
      </c>
      <c r="D50" s="10"/>
    </row>
    <row r="51" spans="1:4" ht="17.100000000000001" customHeight="1" thickBot="1" x14ac:dyDescent="0.3">
      <c r="A51" s="7"/>
      <c r="B51" s="59">
        <v>5</v>
      </c>
      <c r="C51" s="57" t="str">
        <f ca="1">_xlfn.CONCAT("  mov AX, ", E101)</f>
        <v xml:space="preserve">  mov AX, 0A142h</v>
      </c>
      <c r="D51" s="10"/>
    </row>
    <row r="52" spans="1:4" ht="17.100000000000001" customHeight="1" thickBot="1" x14ac:dyDescent="0.3">
      <c r="A52" s="7"/>
      <c r="B52" s="59">
        <v>6</v>
      </c>
      <c r="C52" s="57" t="s">
        <v>71</v>
      </c>
      <c r="D52" s="10"/>
    </row>
    <row r="53" spans="1:4" ht="17.100000000000001" customHeight="1" thickBot="1" x14ac:dyDescent="0.3">
      <c r="A53" s="7"/>
      <c r="B53" s="59">
        <v>7</v>
      </c>
      <c r="C53" s="57" t="s">
        <v>72</v>
      </c>
      <c r="D53" s="10"/>
    </row>
    <row r="54" spans="1:4" ht="17.100000000000001" customHeight="1" thickBot="1" x14ac:dyDescent="0.3">
      <c r="A54" s="7"/>
      <c r="B54" s="59">
        <v>8</v>
      </c>
      <c r="C54" s="57" t="s">
        <v>72</v>
      </c>
      <c r="D54" s="10"/>
    </row>
    <row r="55" spans="1:4" ht="17.100000000000001" customHeight="1" thickBot="1" x14ac:dyDescent="0.3">
      <c r="A55" s="7"/>
      <c r="B55" s="59">
        <v>9</v>
      </c>
      <c r="C55" s="57" t="s">
        <v>73</v>
      </c>
      <c r="D55" s="10"/>
    </row>
    <row r="56" spans="1:4" ht="17.100000000000001" customHeight="1" thickBot="1" x14ac:dyDescent="0.3">
      <c r="A56" s="7"/>
      <c r="B56" s="59">
        <v>10</v>
      </c>
      <c r="C56" s="57" t="s">
        <v>74</v>
      </c>
      <c r="D56" s="10"/>
    </row>
    <row r="57" spans="1:4" ht="17.100000000000001" customHeight="1" thickBot="1" x14ac:dyDescent="0.3">
      <c r="A57" s="7"/>
      <c r="B57" s="59">
        <v>11</v>
      </c>
      <c r="C57" s="57" t="str">
        <f ca="1">_xlfn.CONCAT( "  MOV BH, BYTE PTR var5 + ", RANDBETWEEN(1, 3) )</f>
        <v xml:space="preserve">  MOV BH, BYTE PTR var5 + 3</v>
      </c>
      <c r="D57" s="10"/>
    </row>
    <row r="58" spans="1:4" ht="17.100000000000001" customHeight="1" thickBot="1" x14ac:dyDescent="0.3">
      <c r="A58" s="7"/>
      <c r="B58" s="59">
        <v>12</v>
      </c>
      <c r="C58" s="57" t="s">
        <v>95</v>
      </c>
      <c r="D58" s="10"/>
    </row>
    <row r="59" spans="1:4" ht="17.100000000000001" customHeight="1" thickBot="1" x14ac:dyDescent="0.3">
      <c r="A59" s="7"/>
      <c r="B59" s="59">
        <v>13</v>
      </c>
      <c r="C59" s="57" t="s">
        <v>96</v>
      </c>
      <c r="D59" s="10"/>
    </row>
    <row r="60" spans="1:4" ht="17.100000000000001" customHeight="1" thickBot="1" x14ac:dyDescent="0.3">
      <c r="A60" s="7"/>
      <c r="B60" s="59">
        <v>14</v>
      </c>
      <c r="C60" s="57" t="str">
        <f ca="1">_xlfn.CONCAT( "  MOV CL, ", RANDBETWEEN(1, 3) )</f>
        <v xml:space="preserve">  MOV CL, 1</v>
      </c>
      <c r="D60" s="10"/>
    </row>
    <row r="61" spans="1:4" ht="17.100000000000001" customHeight="1" thickBot="1" x14ac:dyDescent="0.3">
      <c r="A61" s="7"/>
      <c r="B61" s="59">
        <v>15</v>
      </c>
      <c r="C61" s="57" t="str">
        <f ca="1">_xlfn.CONCAT("  ",C129," BX, CL")</f>
        <v xml:space="preserve">  SHR BX, CL</v>
      </c>
      <c r="D61" s="10"/>
    </row>
    <row r="62" spans="1:4" ht="17.100000000000001" customHeight="1" thickBot="1" x14ac:dyDescent="0.3">
      <c r="A62" s="7"/>
      <c r="B62" s="59">
        <v>16</v>
      </c>
      <c r="C62" s="57" t="s">
        <v>109</v>
      </c>
      <c r="D62" s="10"/>
    </row>
    <row r="63" spans="1:4" ht="17.100000000000001" customHeight="1" thickBot="1" x14ac:dyDescent="0.3">
      <c r="A63" s="7"/>
      <c r="B63" s="59">
        <v>17</v>
      </c>
      <c r="C63" s="57" t="s">
        <v>27</v>
      </c>
      <c r="D63" s="10"/>
    </row>
    <row r="64" spans="1:4" ht="17.100000000000001" customHeight="1" thickBot="1" x14ac:dyDescent="0.3">
      <c r="A64" s="7"/>
      <c r="B64" s="59">
        <v>18</v>
      </c>
      <c r="C64" s="57" t="s">
        <v>28</v>
      </c>
      <c r="D64" s="10"/>
    </row>
    <row r="65" spans="1:5" ht="17.100000000000001" customHeight="1" thickBot="1" x14ac:dyDescent="0.3">
      <c r="A65" s="7"/>
      <c r="B65" s="59">
        <v>19</v>
      </c>
      <c r="C65" s="57" t="s">
        <v>113</v>
      </c>
      <c r="D65" s="10"/>
    </row>
    <row r="66" spans="1:5" ht="17.100000000000001" customHeight="1" thickBot="1" x14ac:dyDescent="0.3">
      <c r="A66" s="7"/>
      <c r="B66" s="59"/>
      <c r="C66" s="57" t="s">
        <v>141</v>
      </c>
      <c r="D66" s="10"/>
    </row>
    <row r="67" spans="1:5" ht="17.100000000000001" customHeight="1" thickBot="1" x14ac:dyDescent="0.3">
      <c r="A67" s="7"/>
      <c r="B67" s="59">
        <v>20</v>
      </c>
      <c r="C67" s="57" t="s">
        <v>140</v>
      </c>
      <c r="D67" s="10"/>
    </row>
    <row r="68" spans="1:5" ht="17.100000000000001" customHeight="1" thickBot="1" x14ac:dyDescent="0.3">
      <c r="A68" s="7"/>
      <c r="B68" s="59">
        <v>21</v>
      </c>
      <c r="C68" s="57" t="s">
        <v>145</v>
      </c>
      <c r="D68" s="10"/>
    </row>
    <row r="69" spans="1:5" ht="17.100000000000001" customHeight="1" thickBot="1" x14ac:dyDescent="0.3">
      <c r="A69" s="7"/>
      <c r="B69" s="59">
        <v>22</v>
      </c>
      <c r="C69" s="57" t="s">
        <v>146</v>
      </c>
      <c r="D69" s="10"/>
    </row>
    <row r="70" spans="1:5" ht="17.100000000000001" customHeight="1" thickBot="1" x14ac:dyDescent="0.3">
      <c r="A70" s="7"/>
      <c r="B70" s="59"/>
      <c r="C70" s="57" t="s">
        <v>147</v>
      </c>
      <c r="D70" s="10"/>
    </row>
    <row r="71" spans="1:5" ht="17.100000000000001" customHeight="1" thickBot="1" x14ac:dyDescent="0.3">
      <c r="A71" s="7"/>
      <c r="B71" s="59">
        <v>23</v>
      </c>
      <c r="C71" s="57" t="s">
        <v>143</v>
      </c>
      <c r="D71" s="10"/>
    </row>
    <row r="72" spans="1:5" ht="17.100000000000001" customHeight="1" thickBot="1" x14ac:dyDescent="0.3">
      <c r="A72" s="7"/>
      <c r="B72" s="59"/>
      <c r="C72" s="57" t="str">
        <f ca="1">_xlfn.CONCAT("  MOV BX, ", (RANDBETWEEN(0, 3) * 4) )</f>
        <v xml:space="preserve">  MOV BX, 4</v>
      </c>
      <c r="D72" s="10"/>
    </row>
    <row r="73" spans="1:5" ht="17.100000000000001" customHeight="1" thickBot="1" x14ac:dyDescent="0.3">
      <c r="A73" s="7"/>
      <c r="B73" s="59"/>
      <c r="C73" s="57" t="s">
        <v>142</v>
      </c>
      <c r="D73" s="10"/>
    </row>
    <row r="74" spans="1:5" ht="17.100000000000001" customHeight="1" thickBot="1" x14ac:dyDescent="0.3">
      <c r="A74" s="7"/>
      <c r="B74" s="59"/>
      <c r="C74" s="57" t="str">
        <f ca="1">IF(E74="  MOV AX, WORD PTR ES:[DI + 0]", "  MOV AX, WORD PTR ES:[DI]", E74)</f>
        <v xml:space="preserve">  MOV AX, WORD PTR ES:[DI]</v>
      </c>
      <c r="D74" s="10"/>
      <c r="E74" t="str">
        <f ca="1">_xlfn.CONCAT("  MOV AX, WORD PTR ES:[DI + ", RANDBETWEEN(0, 3), "]")</f>
        <v xml:space="preserve">  MOV AX, WORD PTR ES:[DI + 0]</v>
      </c>
    </row>
    <row r="75" spans="1:5" ht="17.100000000000001" customHeight="1" thickBot="1" x14ac:dyDescent="0.3">
      <c r="A75" s="7"/>
      <c r="B75" s="59"/>
      <c r="C75" s="57" t="s">
        <v>148</v>
      </c>
      <c r="D75" s="10"/>
    </row>
    <row r="76" spans="1:5" ht="17.100000000000001" customHeight="1" thickBot="1" x14ac:dyDescent="0.3">
      <c r="A76" s="7"/>
      <c r="B76" s="59">
        <v>24</v>
      </c>
      <c r="C76" s="57" t="s">
        <v>144</v>
      </c>
      <c r="D76" s="10"/>
    </row>
    <row r="77" spans="1:5" ht="17.100000000000001" customHeight="1" thickBot="1" x14ac:dyDescent="0.3">
      <c r="A77" s="7"/>
      <c r="B77" s="59">
        <v>25</v>
      </c>
      <c r="C77" s="57" t="str">
        <f ca="1">_xlfn.CONCAT("  MOV BX, ", (RANDBETWEEN(0, 3) * 4) )</f>
        <v xml:space="preserve">  MOV BX, 0</v>
      </c>
      <c r="D77" s="10"/>
    </row>
    <row r="78" spans="1:5" ht="17.100000000000001" customHeight="1" thickBot="1" x14ac:dyDescent="0.3">
      <c r="A78" s="7"/>
      <c r="B78" s="59">
        <v>26</v>
      </c>
      <c r="C78" s="57" t="s">
        <v>142</v>
      </c>
      <c r="D78" s="10"/>
    </row>
    <row r="79" spans="1:5" ht="17.100000000000001" customHeight="1" thickBot="1" x14ac:dyDescent="0.3">
      <c r="A79" s="7"/>
      <c r="B79" s="59"/>
      <c r="C79" s="57" t="str">
        <f ca="1">IF(E79="  MOV AX, WORD PTR ES:[DI + 0]", "  MOV AX, WORD PTR ES:[DI]", E79)</f>
        <v xml:space="preserve">  MOV AX, WORD PTR ES:[DI + 2]</v>
      </c>
      <c r="D79" s="10"/>
      <c r="E79" t="str">
        <f ca="1">_xlfn.CONCAT("  MOV AX, WORD PTR ES:[DI + ", RANDBETWEEN(0, 3), "]")</f>
        <v xml:space="preserve">  MOV AX, WORD PTR ES:[DI + 2]</v>
      </c>
    </row>
    <row r="80" spans="1:5" ht="17.100000000000001" customHeight="1" thickBot="1" x14ac:dyDescent="0.3">
      <c r="A80" s="7"/>
      <c r="B80" s="59">
        <v>27</v>
      </c>
      <c r="C80" s="57" t="s">
        <v>148</v>
      </c>
      <c r="D80" s="10"/>
    </row>
    <row r="81" spans="1:5" ht="17.100000000000001" customHeight="1" thickBot="1" x14ac:dyDescent="0.3">
      <c r="A81" s="9"/>
      <c r="B81" s="80">
        <v>30</v>
      </c>
      <c r="C81" s="57" t="s">
        <v>46</v>
      </c>
      <c r="D81" s="10"/>
    </row>
    <row r="82" spans="1:5" ht="16.5" thickBot="1" x14ac:dyDescent="0.3">
      <c r="A82" s="9"/>
      <c r="B82" s="81"/>
      <c r="C82" s="57" t="s">
        <v>47</v>
      </c>
      <c r="D82" s="10"/>
    </row>
    <row r="83" spans="1:5" ht="16.5" thickBot="1" x14ac:dyDescent="0.3">
      <c r="A83" s="3"/>
      <c r="B83" s="82"/>
      <c r="C83" s="57" t="s">
        <v>48</v>
      </c>
      <c r="D83" s="10"/>
    </row>
    <row r="84" spans="1:5" ht="16.5" thickBot="1" x14ac:dyDescent="0.3">
      <c r="A84" s="1"/>
      <c r="B84" s="59"/>
      <c r="C84" s="57" t="s">
        <v>23</v>
      </c>
      <c r="D84" s="1"/>
    </row>
    <row r="85" spans="1:5" ht="9.9499999999999993" customHeight="1" x14ac:dyDescent="0.25">
      <c r="A85" s="1"/>
      <c r="B85" s="38"/>
      <c r="C85" s="6"/>
      <c r="D85" s="1"/>
    </row>
    <row r="86" spans="1:5" x14ac:dyDescent="0.25">
      <c r="C86" s="1"/>
    </row>
    <row r="87" spans="1:5" x14ac:dyDescent="0.25">
      <c r="C87" s="1"/>
    </row>
    <row r="88" spans="1:5" x14ac:dyDescent="0.25">
      <c r="C88" t="s">
        <v>62</v>
      </c>
      <c r="E88" t="s">
        <v>63</v>
      </c>
    </row>
    <row r="89" spans="1:5" x14ac:dyDescent="0.25">
      <c r="C89" s="39" t="s">
        <v>58</v>
      </c>
    </row>
    <row r="90" spans="1:5" x14ac:dyDescent="0.25">
      <c r="C90">
        <f ca="1">RANDBETWEEN(0,255)</f>
        <v>161</v>
      </c>
      <c r="E90" t="str">
        <f ca="1">_xlfn.CONCAT( _xlfn.IFS( C90 &lt; HEX2DEC("A"), DEC2HEX(C90, 1), C90 &lt; HEX2DEC("A0"), DEC2HEX(C90, 2), C90 &lt; HEX2DEC("A00"), DEC2HEX(C90, 3), C90 &lt; HEX2DEC("A000"), DEC2HEX(C90, 4), C90 &lt; HEX2DEC("A0000"), DEC2HEX(C90, 5), C90 &lt; HEX2DEC("A00000"), DEC2HEX(C90, 6), C90 &lt; HEX2DEC("A000000"), DEC2HEX(C90, 7), C90 &lt; HEX2DEC("A0000000"), DEC2HEX(C90, 8), TRUE, DEC2HEX(C90, 9) ), "h" )</f>
        <v>0A1h</v>
      </c>
    </row>
    <row r="91" spans="1:5" x14ac:dyDescent="0.25">
      <c r="C91" s="39" t="s">
        <v>103</v>
      </c>
    </row>
    <row r="92" spans="1:5" x14ac:dyDescent="0.25">
      <c r="C92">
        <f ca="1">RANDBETWEEN(1,255)</f>
        <v>109</v>
      </c>
      <c r="E92" t="str">
        <f ca="1">_xlfn.CONCAT( _xlfn.IFS( C92 &lt; HEX2DEC("A"), DEC2HEX(C92, 1), C92 &lt; HEX2DEC("A0"), DEC2HEX(C92, 2), C92 &lt; HEX2DEC("A00"), DEC2HEX(C92, 3), C92 &lt; HEX2DEC("A000"), DEC2HEX(C92, 4), C92 &lt; HEX2DEC("A0000"), DEC2HEX(C92, 5), C92 &lt; HEX2DEC("A00000"), DEC2HEX(C92, 6), C92 &lt; HEX2DEC("A000000"), DEC2HEX(C92, 7), C92 &lt; HEX2DEC("A0000000"), DEC2HEX(C92, 8), TRUE, DEC2HEX(C92, 9) ), "h" )</f>
        <v>6Dh</v>
      </c>
    </row>
    <row r="93" spans="1:5" x14ac:dyDescent="0.25">
      <c r="C93">
        <f ca="1">RANDBETWEEN(1,255)</f>
        <v>96</v>
      </c>
      <c r="E93" t="str">
        <f ca="1">_xlfn.CONCAT( _xlfn.IFS( C93 &lt; HEX2DEC("A"), DEC2HEX(C93, 1), C93 &lt; HEX2DEC("A0"), DEC2HEX(C93, 2), C93 &lt; HEX2DEC("A00"), DEC2HEX(C93, 3), C93 &lt; HEX2DEC("A000"), DEC2HEX(C93, 4), C93 &lt; HEX2DEC("A0000"), DEC2HEX(C93, 5), C93 &lt; HEX2DEC("A00000"), DEC2HEX(C93, 6), C93 &lt; HEX2DEC("A000000"), DEC2HEX(C93, 7), C93 &lt; HEX2DEC("A0000000"), DEC2HEX(C93, 8), TRUE, DEC2HEX(C93, 9) ), "h" )</f>
        <v>60h</v>
      </c>
    </row>
    <row r="94" spans="1:5" x14ac:dyDescent="0.25">
      <c r="C94" s="39" t="s">
        <v>59</v>
      </c>
    </row>
    <row r="95" spans="1:5" x14ac:dyDescent="0.25">
      <c r="C95">
        <f ca="1">RANDBETWEEN(0, 65535)</f>
        <v>58891</v>
      </c>
      <c r="E95" t="str">
        <f ca="1">_xlfn.CONCAT( _xlfn.IFS( C95 &lt; HEX2DEC("A"), DEC2HEX(C95, 1), C95 &lt; HEX2DEC("A0"), DEC2HEX(C95, 2), C95 &lt; HEX2DEC("A00"), DEC2HEX(C95, 3), C95 &lt; HEX2DEC("A000"), DEC2HEX(C95, 4), C95 &lt; HEX2DEC("A0000"), DEC2HEX(C95, 5), C95 &lt; HEX2DEC("A00000"), DEC2HEX(C95, 6), C95 &lt; HEX2DEC("A000000"), DEC2HEX(C95, 7), C95 &lt; HEX2DEC("A0000000"), DEC2HEX(C95, 8), TRUE, DEC2HEX(C95, 9) ), "h" )</f>
        <v>0E60Bh</v>
      </c>
    </row>
    <row r="96" spans="1:5" x14ac:dyDescent="0.25">
      <c r="C96">
        <f ca="1">RANDBETWEEN(0, 65535)</f>
        <v>16618</v>
      </c>
      <c r="E96" t="str">
        <f ca="1">_xlfn.CONCAT( _xlfn.IFS( C96 &lt; HEX2DEC("A"), DEC2HEX(C96, 1), C96 &lt; HEX2DEC("A0"), DEC2HEX(C96, 2), C96 &lt; HEX2DEC("A00"), DEC2HEX(C96, 3), C96 &lt; HEX2DEC("A000"), DEC2HEX(C96, 4), C96 &lt; HEX2DEC("A0000"), DEC2HEX(C96, 5), C96 &lt; HEX2DEC("A00000"), DEC2HEX(C96, 6), C96 &lt; HEX2DEC("A000000"), DEC2HEX(C96, 7), C96 &lt; HEX2DEC("A0000000"), DEC2HEX(C96, 8), TRUE, DEC2HEX(C96, 9) ), "h" )</f>
        <v>40EAh</v>
      </c>
    </row>
    <row r="97" spans="3:5" x14ac:dyDescent="0.25">
      <c r="C97" s="39" t="s">
        <v>60</v>
      </c>
    </row>
    <row r="98" spans="3:5" x14ac:dyDescent="0.25">
      <c r="C98">
        <f ca="1">RANDBETWEEN(256, 65535)</f>
        <v>19819</v>
      </c>
      <c r="E98" t="str">
        <f ca="1">_xlfn.CONCAT( _xlfn.IFS( C98 &lt; HEX2DEC("A"), DEC2HEX(C98, 1), C98 &lt; HEX2DEC("A0"), DEC2HEX(C98, 2), C98 &lt; HEX2DEC("A00"), DEC2HEX(C98, 3), C98 &lt; HEX2DEC("A000"), DEC2HEX(C98, 4), C98 &lt; HEX2DEC("A0000"), DEC2HEX(C98, 5), C98 &lt; HEX2DEC("A00000"), DEC2HEX(C98, 6), C98 &lt; HEX2DEC("A000000"), DEC2HEX(C98, 7), C98 &lt; HEX2DEC("A0000000"), DEC2HEX(C98, 8), TRUE, DEC2HEX(C98, 9) ), "h" )</f>
        <v>4D6Bh</v>
      </c>
    </row>
    <row r="99" spans="3:5" x14ac:dyDescent="0.25">
      <c r="C99">
        <f ca="1">RANDBETWEEN(256, 65535)</f>
        <v>7251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1C53h</v>
      </c>
    </row>
    <row r="100" spans="3:5" x14ac:dyDescent="0.25">
      <c r="C100" s="39" t="s">
        <v>68</v>
      </c>
    </row>
    <row r="101" spans="3:5" x14ac:dyDescent="0.25">
      <c r="C101">
        <f ca="1">RANDBETWEEN(HEX2DEC("1000"), 65535)</f>
        <v>41282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0A142h</v>
      </c>
    </row>
    <row r="102" spans="3:5" x14ac:dyDescent="0.25">
      <c r="C102" s="39" t="s">
        <v>61</v>
      </c>
    </row>
    <row r="103" spans="3:5" x14ac:dyDescent="0.25">
      <c r="C103">
        <f ca="1">RANDBETWEEN(65536, 4294967295)</f>
        <v>3985571565</v>
      </c>
      <c r="E103" t="str">
        <f ca="1">_xlfn.CONCAT( _xlfn.IFS( C103 &lt; HEX2DEC("A"), DEC2HEX(C103, 1), C103 &lt; HEX2DEC("A0"), DEC2HEX(C103, 2), C103 &lt; HEX2DEC("A00"), DEC2HEX(C103, 3), C103 &lt; HEX2DEC("A000"), DEC2HEX(C103, 4), C103 &lt; HEX2DEC("A0000"), DEC2HEX(C103, 5), C103 &lt; HEX2DEC("A00000"), DEC2HEX(C103, 6), C103 &lt; HEX2DEC("A000000"), DEC2HEX(C103, 7), C103 &lt; HEX2DEC("A0000000"), DEC2HEX(C103, 8), TRUE, DEC2HEX(C103, 9) ), "h" )</f>
        <v>0ED8EFEEDh</v>
      </c>
    </row>
    <row r="104" spans="3:5" x14ac:dyDescent="0.25">
      <c r="C104" t="s">
        <v>64</v>
      </c>
    </row>
    <row r="105" spans="3:5" x14ac:dyDescent="0.25">
      <c r="C105">
        <f ca="1">EVEN(RANDBETWEEN(100, 2048))</f>
        <v>144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90h</v>
      </c>
    </row>
    <row r="106" spans="3:5" x14ac:dyDescent="0.25">
      <c r="C106" t="s">
        <v>65</v>
      </c>
    </row>
    <row r="107" spans="3:5" x14ac:dyDescent="0.25">
      <c r="C107">
        <f ca="1">ROUNDDOWN(C105/100, 1) * 100</f>
        <v>140</v>
      </c>
    </row>
    <row r="109" spans="3:5" x14ac:dyDescent="0.25">
      <c r="C109" t="s">
        <v>88</v>
      </c>
    </row>
    <row r="110" spans="3:5" x14ac:dyDescent="0.25">
      <c r="C110" s="53" t="str">
        <f>_xlfn.CONCAT( (HEX2BIN("AA")), (HEX2BIN("AA")), "b" )</f>
        <v>1010101010101010b</v>
      </c>
    </row>
    <row r="111" spans="3:5" x14ac:dyDescent="0.25">
      <c r="C111" t="str">
        <f>_xlfn.CONCAT( (HEX2BIN("FF")), (HEX2BIN("AA")), "b" )</f>
        <v>1111111110101010b</v>
      </c>
    </row>
    <row r="112" spans="3:5" x14ac:dyDescent="0.25">
      <c r="C112" t="str">
        <f>_xlfn.CONCAT( (HEX2BIN("CC")), (HEX2BIN("FF")), "b" )</f>
        <v>1100110011111111b</v>
      </c>
    </row>
    <row r="113" spans="3:3" x14ac:dyDescent="0.25">
      <c r="C113" t="str">
        <f>_xlfn.CONCAT( (HEX2BIN("55", 8)), (HEX2BIN("55", 8)), "b" )</f>
        <v>0101010101010101b</v>
      </c>
    </row>
    <row r="114" spans="3:3" x14ac:dyDescent="0.25">
      <c r="C114" t="str">
        <f>_xlfn.CONCAT( (HEX2BIN("66", 8)), (HEX2BIN("66", 8)), "b" )</f>
        <v>0110011001100110b</v>
      </c>
    </row>
    <row r="115" spans="3:3" x14ac:dyDescent="0.25">
      <c r="C115" t="str">
        <f>_xlfn.CONCAT( (HEX2BIN("99", 8)), (HEX2BIN("99", 8)), "b" )</f>
        <v>1001100110011001b</v>
      </c>
    </row>
    <row r="116" spans="3:3" x14ac:dyDescent="0.25">
      <c r="C116" t="str">
        <f>_xlfn.CONCAT( (HEX2BIN("F3", 8)), (HEX2BIN("F3", 8)), "b" )</f>
        <v>1111001111110011b</v>
      </c>
    </row>
    <row r="117" spans="3:3" x14ac:dyDescent="0.25">
      <c r="C117" t="str">
        <f>_xlfn.CONCAT( (HEX2BIN("FC", 8)), (HEX2BIN("FC", 8)), "b" )</f>
        <v>1111110011111100b</v>
      </c>
    </row>
    <row r="119" spans="3:3" x14ac:dyDescent="0.25">
      <c r="C119" t="s">
        <v>133</v>
      </c>
    </row>
    <row r="120" spans="3:3" x14ac:dyDescent="0.25">
      <c r="C120" t="str" cm="1">
        <f t="array" aca="1" ref="C120" ca="1">INDEX($C$110:$C$117,RANDBETWEEN(1,COUNTA($C$110:$C$117)), 1)</f>
        <v>1100110011111111b</v>
      </c>
    </row>
    <row r="122" spans="3:3" x14ac:dyDescent="0.25">
      <c r="C122" t="s">
        <v>135</v>
      </c>
    </row>
    <row r="123" spans="3:3" x14ac:dyDescent="0.25">
      <c r="C123" t="s">
        <v>105</v>
      </c>
    </row>
    <row r="124" spans="3:3" x14ac:dyDescent="0.25">
      <c r="C124" t="s">
        <v>106</v>
      </c>
    </row>
    <row r="125" spans="3:3" x14ac:dyDescent="0.25">
      <c r="C125" t="s">
        <v>107</v>
      </c>
    </row>
    <row r="126" spans="3:3" x14ac:dyDescent="0.25">
      <c r="C126" t="s">
        <v>108</v>
      </c>
    </row>
    <row r="128" spans="3:3" x14ac:dyDescent="0.25">
      <c r="C128" t="s">
        <v>134</v>
      </c>
    </row>
    <row r="129" spans="3:3" x14ac:dyDescent="0.25">
      <c r="C129" t="str" cm="1">
        <f t="array" aca="1" ref="C129" ca="1">INDEX($C$123:$C$126, RANDBETWEEN(1, COUNTA($C$123:$C$126)), 1)</f>
        <v>SHR</v>
      </c>
    </row>
    <row r="131" spans="3:3" x14ac:dyDescent="0.25">
      <c r="C131" t="s">
        <v>110</v>
      </c>
    </row>
    <row r="132" spans="3:3" x14ac:dyDescent="0.25">
      <c r="C132" t="s">
        <v>111</v>
      </c>
    </row>
    <row r="134" spans="3:3" x14ac:dyDescent="0.25">
      <c r="C134" t="s">
        <v>136</v>
      </c>
    </row>
    <row r="135" spans="3:3" x14ac:dyDescent="0.25">
      <c r="C135" t="s">
        <v>137</v>
      </c>
    </row>
    <row r="136" spans="3:3" x14ac:dyDescent="0.25">
      <c r="C136" t="s">
        <v>138</v>
      </c>
    </row>
    <row r="138" spans="3:3" x14ac:dyDescent="0.25">
      <c r="C138" t="s">
        <v>139</v>
      </c>
    </row>
    <row r="139" spans="3:3" x14ac:dyDescent="0.25">
      <c r="C139" t="str" cm="1">
        <f t="array" aca="1" ref="C139" ca="1">INDEX($C$135:$C$136, RANDBETWEEN(1, COUNTA($C$135:$C$136)), 1)</f>
        <v>far</v>
      </c>
    </row>
  </sheetData>
  <mergeCells count="3">
    <mergeCell ref="B16:B21"/>
    <mergeCell ref="B46:B48"/>
    <mergeCell ref="B81:B8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266D5-EC49-46D6-8E21-18B355BB0A66}">
  <sheetPr codeName="Sheet11"/>
  <dimension ref="A1:F171"/>
  <sheetViews>
    <sheetView topLeftCell="C87" zoomScale="85" zoomScaleNormal="85" workbookViewId="0">
      <selection activeCell="C99" sqref="C9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29.28515625" bestFit="1" customWidth="1"/>
    <col min="6" max="6" width="8.42578125" bestFit="1" customWidth="1"/>
    <col min="8" max="8" width="0" hidden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1111110011111100b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1550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79">
        <v>3</v>
      </c>
      <c r="C16" s="57" t="str">
        <f ca="1">_xlfn.CONCAT("  var1 DW ", E127)</f>
        <v xml:space="preserve">  var1 DW 6791h</v>
      </c>
      <c r="D16" s="10"/>
    </row>
    <row r="17" spans="1:4" ht="17.100000000000001" customHeight="1" thickBot="1" x14ac:dyDescent="0.3">
      <c r="A17" s="7"/>
      <c r="B17" s="79"/>
      <c r="C17" s="57" t="str">
        <f ca="1">_xlfn.CONCAT("  var2 DW ", E128)</f>
        <v xml:space="preserve">  var2 DW 5884h</v>
      </c>
      <c r="D17" s="10"/>
    </row>
    <row r="18" spans="1:4" ht="17.100000000000001" customHeight="1" thickBot="1" x14ac:dyDescent="0.3">
      <c r="A18" s="7"/>
      <c r="B18" s="79"/>
      <c r="C18" s="57" t="str">
        <f ca="1">_xlfn.CONCAT("  var3 DB ", E119)</f>
        <v xml:space="preserve">  var3 DB 74h</v>
      </c>
      <c r="D18" s="10"/>
    </row>
    <row r="19" spans="1:4" ht="17.100000000000001" customHeight="1" thickBot="1" x14ac:dyDescent="0.3">
      <c r="A19" s="7"/>
      <c r="B19" s="79"/>
      <c r="C19" s="57" t="str">
        <f ca="1">_xlfn.CONCAT("  var4 DB ", E120)</f>
        <v xml:space="preserve">  var4 DB 36h</v>
      </c>
      <c r="D19" s="10"/>
    </row>
    <row r="20" spans="1:4" ht="17.100000000000001" customHeight="1" thickBot="1" x14ac:dyDescent="0.3">
      <c r="A20" s="7"/>
      <c r="B20" s="79"/>
      <c r="C20" s="57" t="str">
        <f ca="1">_xlfn.CONCAT("  var5 DD ", E134)</f>
        <v xml:space="preserve">  var5 DD 0ED8DB865h</v>
      </c>
      <c r="D20" s="10"/>
    </row>
    <row r="21" spans="1:4" ht="17.100000000000001" customHeight="1" thickBot="1" x14ac:dyDescent="0.3">
      <c r="A21" s="7"/>
      <c r="B21" s="79"/>
      <c r="C21" s="57" t="s">
        <v>166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/>
      <c r="D23" s="10"/>
    </row>
    <row r="24" spans="1:4" ht="17.100000000000001" customHeight="1" thickBot="1" x14ac:dyDescent="0.3">
      <c r="A24" s="7"/>
      <c r="B24" s="59"/>
      <c r="C24" s="57" t="s">
        <v>171</v>
      </c>
      <c r="D24" s="10"/>
    </row>
    <row r="25" spans="1:4" ht="17.100000000000001" customHeight="1" thickBot="1" x14ac:dyDescent="0.3">
      <c r="A25" s="7"/>
      <c r="B25" s="59"/>
      <c r="C25" s="57" t="s">
        <v>179</v>
      </c>
      <c r="D25" s="10"/>
    </row>
    <row r="26" spans="1:4" ht="17.100000000000001" customHeight="1" thickBot="1" x14ac:dyDescent="0.3">
      <c r="A26" s="7"/>
      <c r="B26" s="59"/>
      <c r="C26" s="57" t="s">
        <v>177</v>
      </c>
      <c r="D26" s="10"/>
    </row>
    <row r="27" spans="1:4" ht="17.100000000000001" customHeight="1" thickBot="1" x14ac:dyDescent="0.3">
      <c r="A27" s="7"/>
      <c r="B27" s="59"/>
      <c r="C27" s="57" t="s">
        <v>178</v>
      </c>
      <c r="D27" s="10"/>
    </row>
    <row r="28" spans="1:4" ht="17.100000000000001" customHeight="1" thickBot="1" x14ac:dyDescent="0.3">
      <c r="A28" s="7"/>
      <c r="B28" s="59"/>
      <c r="C28" s="57" t="s">
        <v>176</v>
      </c>
      <c r="D28" s="10"/>
    </row>
    <row r="29" spans="1:4" ht="17.100000000000001" customHeight="1" thickBot="1" x14ac:dyDescent="0.3">
      <c r="A29" s="7"/>
      <c r="B29" s="59"/>
      <c r="C29" s="57" t="str">
        <f ca="1">_xlfn.CONCAT("proc compNr ", C170)</f>
        <v>proc compNr near</v>
      </c>
      <c r="D29" s="10"/>
    </row>
    <row r="30" spans="1:4" ht="17.100000000000001" customHeight="1" thickBot="1" x14ac:dyDescent="0.3">
      <c r="A30" s="7"/>
      <c r="B30" s="59"/>
      <c r="C30" s="57" t="s">
        <v>116</v>
      </c>
      <c r="D30" s="10"/>
    </row>
    <row r="31" spans="1:4" ht="17.100000000000001" customHeight="1" thickBot="1" x14ac:dyDescent="0.3">
      <c r="A31" s="7"/>
      <c r="B31" s="59"/>
      <c r="C31" s="57" t="s">
        <v>117</v>
      </c>
      <c r="D31" s="10"/>
    </row>
    <row r="32" spans="1:4" ht="17.100000000000001" customHeight="1" thickBot="1" x14ac:dyDescent="0.3">
      <c r="A32" s="7"/>
      <c r="B32" s="59"/>
      <c r="C32" s="57" t="s">
        <v>149</v>
      </c>
      <c r="D32" s="10"/>
    </row>
    <row r="33" spans="1:4" ht="17.100000000000001" customHeight="1" thickBot="1" x14ac:dyDescent="0.3">
      <c r="A33" s="7"/>
      <c r="B33" s="59"/>
      <c r="C33" s="57" t="s">
        <v>175</v>
      </c>
      <c r="D33" s="10"/>
    </row>
    <row r="34" spans="1:4" ht="17.100000000000001" customHeight="1" thickBot="1" x14ac:dyDescent="0.3">
      <c r="A34" s="7"/>
      <c r="B34" s="59"/>
      <c r="C34" s="57" t="s">
        <v>174</v>
      </c>
      <c r="D34" s="10"/>
    </row>
    <row r="35" spans="1:4" ht="17.100000000000001" customHeight="1" thickBot="1" x14ac:dyDescent="0.3">
      <c r="A35" s="7"/>
      <c r="B35" s="59"/>
      <c r="C35" s="57" t="s">
        <v>120</v>
      </c>
      <c r="D35" s="10"/>
    </row>
    <row r="36" spans="1:4" ht="17.100000000000001" customHeight="1" thickBot="1" x14ac:dyDescent="0.3">
      <c r="A36" s="7"/>
      <c r="B36" s="59"/>
      <c r="C36" s="57" t="s">
        <v>121</v>
      </c>
      <c r="D36" s="10"/>
    </row>
    <row r="37" spans="1:4" ht="17.100000000000001" customHeight="1" thickBot="1" x14ac:dyDescent="0.3">
      <c r="A37" s="7"/>
      <c r="B37" s="59"/>
      <c r="C37" s="57" t="s">
        <v>122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124</v>
      </c>
      <c r="D39" s="10"/>
    </row>
    <row r="40" spans="1:4" ht="17.100000000000001" customHeight="1" thickBot="1" x14ac:dyDescent="0.3">
      <c r="A40" s="7"/>
      <c r="B40" s="59"/>
      <c r="C40" s="57" t="s">
        <v>125</v>
      </c>
      <c r="D40" s="10"/>
    </row>
    <row r="41" spans="1:4" ht="17.100000000000001" customHeight="1" thickBot="1" x14ac:dyDescent="0.3">
      <c r="A41" s="7"/>
      <c r="B41" s="59"/>
      <c r="C41" s="57" t="s">
        <v>123</v>
      </c>
      <c r="D41" s="10"/>
    </row>
    <row r="42" spans="1:4" ht="17.100000000000001" customHeight="1" thickBot="1" x14ac:dyDescent="0.3">
      <c r="A42" s="7"/>
      <c r="B42" s="59"/>
      <c r="C42" s="57" t="s">
        <v>126</v>
      </c>
      <c r="D42" s="10"/>
    </row>
    <row r="43" spans="1:4" ht="17.100000000000001" customHeight="1" thickBot="1" x14ac:dyDescent="0.3">
      <c r="A43" s="7"/>
      <c r="B43" s="59"/>
      <c r="C43" s="57" t="s">
        <v>127</v>
      </c>
      <c r="D43" s="10"/>
    </row>
    <row r="44" spans="1:4" ht="17.100000000000001" customHeight="1" thickBot="1" x14ac:dyDescent="0.3">
      <c r="A44" s="7"/>
      <c r="B44" s="59"/>
      <c r="C44" s="57" t="s">
        <v>123</v>
      </c>
      <c r="D44" s="10"/>
    </row>
    <row r="45" spans="1:4" ht="17.100000000000001" customHeight="1" thickBot="1" x14ac:dyDescent="0.3">
      <c r="A45" s="7"/>
      <c r="B45" s="59"/>
      <c r="C45" s="57" t="s">
        <v>128</v>
      </c>
      <c r="D45" s="10"/>
    </row>
    <row r="46" spans="1:4" ht="17.100000000000001" customHeight="1" thickBot="1" x14ac:dyDescent="0.3">
      <c r="A46" s="7"/>
      <c r="B46" s="59"/>
      <c r="C46" s="57" t="s">
        <v>150</v>
      </c>
      <c r="D46" s="10"/>
    </row>
    <row r="47" spans="1:4" ht="17.100000000000001" customHeight="1" thickBot="1" x14ac:dyDescent="0.3">
      <c r="A47" s="7"/>
      <c r="B47" s="59"/>
      <c r="C47" s="57" t="s">
        <v>131</v>
      </c>
      <c r="D47" s="10"/>
    </row>
    <row r="48" spans="1:4" ht="17.100000000000001" customHeight="1" thickBot="1" x14ac:dyDescent="0.3">
      <c r="A48" s="7"/>
      <c r="B48" s="59"/>
      <c r="C48" s="57" t="s">
        <v>129</v>
      </c>
      <c r="D48" s="10"/>
    </row>
    <row r="49" spans="1:4" ht="17.100000000000001" customHeight="1" thickBot="1" x14ac:dyDescent="0.3">
      <c r="A49" s="7"/>
      <c r="B49" s="59"/>
      <c r="C49" s="57" t="s">
        <v>130</v>
      </c>
      <c r="D49" s="10"/>
    </row>
    <row r="50" spans="1:4" ht="17.100000000000001" customHeight="1" thickBot="1" x14ac:dyDescent="0.3">
      <c r="A50" s="7"/>
      <c r="B50" s="59"/>
      <c r="C50" s="57"/>
      <c r="D50" s="10"/>
    </row>
    <row r="51" spans="1:4" ht="17.100000000000001" customHeight="1" thickBot="1" x14ac:dyDescent="0.3">
      <c r="A51" s="7"/>
      <c r="B51" s="59"/>
      <c r="C51" s="57" t="str">
        <f ca="1">_xlfn.CONCAT("proc nuFaceNimic ", C171)</f>
        <v>proc nuFaceNimic far</v>
      </c>
      <c r="D51" s="10"/>
    </row>
    <row r="52" spans="1:4" ht="17.100000000000001" customHeight="1" thickBot="1" x14ac:dyDescent="0.3">
      <c r="A52" s="7"/>
      <c r="B52" s="59"/>
      <c r="C52" s="57" t="s">
        <v>161</v>
      </c>
      <c r="D52" s="10"/>
    </row>
    <row r="53" spans="1:4" ht="17.100000000000001" customHeight="1" thickBot="1" x14ac:dyDescent="0.3">
      <c r="A53" s="7"/>
      <c r="B53" s="59"/>
      <c r="C53" s="57" t="s">
        <v>163</v>
      </c>
      <c r="D53" s="10"/>
    </row>
    <row r="54" spans="1:4" ht="17.100000000000001" customHeight="1" thickBot="1" x14ac:dyDescent="0.3">
      <c r="A54" s="7"/>
      <c r="B54" s="59"/>
      <c r="C54" s="57" t="s">
        <v>162</v>
      </c>
      <c r="D54" s="10"/>
    </row>
    <row r="55" spans="1:4" ht="17.100000000000001" customHeight="1" thickBot="1" x14ac:dyDescent="0.3">
      <c r="A55" s="7"/>
      <c r="B55" s="59"/>
      <c r="C55" s="57"/>
      <c r="D55" s="10"/>
    </row>
    <row r="56" spans="1:4" ht="17.100000000000001" customHeight="1" thickBot="1" x14ac:dyDescent="0.3">
      <c r="A56" s="7"/>
      <c r="B56" s="59"/>
      <c r="C56" s="57" t="s">
        <v>22</v>
      </c>
      <c r="D56" s="10"/>
    </row>
    <row r="57" spans="1:4" ht="17.100000000000001" customHeight="1" thickBot="1" x14ac:dyDescent="0.3">
      <c r="A57" s="7"/>
      <c r="B57" s="80">
        <v>3</v>
      </c>
      <c r="C57" s="57" t="s">
        <v>51</v>
      </c>
      <c r="D57" s="10"/>
    </row>
    <row r="58" spans="1:4" ht="17.100000000000001" customHeight="1" thickBot="1" x14ac:dyDescent="0.3">
      <c r="A58" s="7"/>
      <c r="B58" s="81"/>
      <c r="C58" s="57" t="s">
        <v>49</v>
      </c>
      <c r="D58" s="10"/>
    </row>
    <row r="59" spans="1:4" ht="17.100000000000001" customHeight="1" thickBot="1" x14ac:dyDescent="0.3">
      <c r="A59" s="7"/>
      <c r="B59" s="82"/>
      <c r="C59" s="57" t="s">
        <v>50</v>
      </c>
      <c r="D59" s="10"/>
    </row>
    <row r="60" spans="1:4" ht="17.100000000000001" customHeight="1" thickBot="1" x14ac:dyDescent="0.3">
      <c r="A60" s="7"/>
      <c r="B60" s="59"/>
      <c r="C60" s="57" t="s">
        <v>52</v>
      </c>
      <c r="D60" s="10"/>
    </row>
    <row r="61" spans="1:4" ht="17.100000000000001" customHeight="1" thickBot="1" x14ac:dyDescent="0.3">
      <c r="A61" s="7"/>
      <c r="B61" s="59">
        <v>4</v>
      </c>
      <c r="C61" s="57" t="s">
        <v>132</v>
      </c>
      <c r="D61" s="10"/>
    </row>
    <row r="62" spans="1:4" ht="17.100000000000001" customHeight="1" thickBot="1" x14ac:dyDescent="0.3">
      <c r="A62" s="7"/>
      <c r="B62" s="59">
        <v>5</v>
      </c>
      <c r="C62" s="57" t="str">
        <f ca="1">_xlfn.CONCAT("  mov AX, ", E132)</f>
        <v xml:space="preserve">  mov AX, 1135h</v>
      </c>
      <c r="D62" s="10"/>
    </row>
    <row r="63" spans="1:4" ht="17.100000000000001" customHeight="1" thickBot="1" x14ac:dyDescent="0.3">
      <c r="A63" s="7"/>
      <c r="B63" s="59">
        <v>6</v>
      </c>
      <c r="C63" s="57" t="s">
        <v>71</v>
      </c>
      <c r="D63" s="10"/>
    </row>
    <row r="64" spans="1:4" ht="17.100000000000001" customHeight="1" thickBot="1" x14ac:dyDescent="0.3">
      <c r="A64" s="7"/>
      <c r="B64" s="59">
        <v>7</v>
      </c>
      <c r="C64" s="57" t="s">
        <v>72</v>
      </c>
      <c r="D64" s="10"/>
    </row>
    <row r="65" spans="1:4" ht="17.100000000000001" customHeight="1" thickBot="1" x14ac:dyDescent="0.3">
      <c r="A65" s="7"/>
      <c r="B65" s="59">
        <v>8</v>
      </c>
      <c r="C65" s="57" t="s">
        <v>72</v>
      </c>
      <c r="D65" s="10"/>
    </row>
    <row r="66" spans="1:4" ht="17.100000000000001" customHeight="1" thickBot="1" x14ac:dyDescent="0.3">
      <c r="A66" s="7"/>
      <c r="B66" s="59">
        <v>9</v>
      </c>
      <c r="C66" s="57" t="s">
        <v>73</v>
      </c>
      <c r="D66" s="10"/>
    </row>
    <row r="67" spans="1:4" ht="17.100000000000001" customHeight="1" thickBot="1" x14ac:dyDescent="0.3">
      <c r="A67" s="7"/>
      <c r="B67" s="59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59">
        <v>11</v>
      </c>
      <c r="C68" s="57" t="str">
        <f ca="1">_xlfn.CONCAT( "  MOV DH, BYTE PTR var5 + ", RANDBETWEEN(1, 3) )</f>
        <v xml:space="preserve">  MOV DH, BYTE PTR var5 + 3</v>
      </c>
      <c r="D68" s="10"/>
    </row>
    <row r="69" spans="1:4" ht="17.100000000000001" customHeight="1" thickBot="1" x14ac:dyDescent="0.3">
      <c r="A69" s="7"/>
      <c r="B69" s="59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59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59">
        <v>14</v>
      </c>
      <c r="C71" s="57" t="str">
        <f ca="1">_xlfn.CONCAT( "  MOV CL, ", RANDBETWEEN(1, 3) )</f>
        <v xml:space="preserve">  MOV CL, 3</v>
      </c>
      <c r="D71" s="10"/>
    </row>
    <row r="72" spans="1:4" ht="17.100000000000001" customHeight="1" thickBot="1" x14ac:dyDescent="0.3">
      <c r="A72" s="7"/>
      <c r="B72" s="59">
        <v>15</v>
      </c>
      <c r="C72" s="57" t="str">
        <f ca="1">_xlfn.CONCAT("  ",C160," DX, CL")</f>
        <v xml:space="preserve">  ROR DX, CL</v>
      </c>
      <c r="D72" s="10"/>
    </row>
    <row r="73" spans="1:4" ht="17.100000000000001" customHeight="1" thickBot="1" x14ac:dyDescent="0.3">
      <c r="A73" s="7"/>
      <c r="B73" s="59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59">
        <v>17</v>
      </c>
      <c r="C74" s="57" t="s">
        <v>27</v>
      </c>
      <c r="D74" s="10"/>
    </row>
    <row r="75" spans="1:4" ht="17.100000000000001" customHeight="1" thickBot="1" x14ac:dyDescent="0.3">
      <c r="A75" s="7"/>
      <c r="B75" s="59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59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59"/>
      <c r="C77" s="57" t="s">
        <v>141</v>
      </c>
      <c r="D77" s="10"/>
    </row>
    <row r="78" spans="1:4" ht="17.100000000000001" customHeight="1" thickBot="1" x14ac:dyDescent="0.3">
      <c r="A78" s="7"/>
      <c r="B78" s="59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59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59">
        <v>22</v>
      </c>
      <c r="C80" s="57" t="s">
        <v>146</v>
      </c>
      <c r="D80" s="10"/>
    </row>
    <row r="81" spans="1:5" ht="17.100000000000001" customHeight="1" thickBot="1" x14ac:dyDescent="0.3">
      <c r="A81" s="7"/>
      <c r="B81" s="59"/>
      <c r="C81" s="57" t="s">
        <v>165</v>
      </c>
      <c r="D81" s="10"/>
    </row>
    <row r="82" spans="1:5" ht="17.100000000000001" customHeight="1" thickBot="1" x14ac:dyDescent="0.3">
      <c r="A82" s="7"/>
      <c r="B82" s="59">
        <v>23</v>
      </c>
      <c r="C82" s="57" t="s">
        <v>143</v>
      </c>
      <c r="D82" s="10"/>
    </row>
    <row r="83" spans="1:5" ht="17.100000000000001" customHeight="1" thickBot="1" x14ac:dyDescent="0.3">
      <c r="A83" s="7"/>
      <c r="B83" s="59"/>
      <c r="C83" s="57" t="str">
        <f ca="1">_xlfn.CONCAT("  MOV BX, ", (RANDBETWEEN(0, 3) * 4) )</f>
        <v xml:space="preserve">  MOV BX, 4</v>
      </c>
      <c r="D83" s="10"/>
    </row>
    <row r="84" spans="1:5" ht="17.100000000000001" customHeight="1" thickBot="1" x14ac:dyDescent="0.3">
      <c r="A84" s="7"/>
      <c r="B84" s="59"/>
      <c r="C84" s="57" t="s">
        <v>142</v>
      </c>
      <c r="D84" s="10"/>
    </row>
    <row r="85" spans="1:5" ht="17.100000000000001" customHeight="1" thickBot="1" x14ac:dyDescent="0.3">
      <c r="A85" s="7"/>
      <c r="B85" s="59"/>
      <c r="C85" s="57" t="str">
        <f ca="1">IF(E85="  MOV CX, WORD PTR ES:[DI + 0]", "  MOV CX, WORD PTR ES:[DI]", E85)</f>
        <v xml:space="preserve">  MOV CX, WORD PTR ES:[DI + 1]</v>
      </c>
      <c r="D85" s="10"/>
      <c r="E85" t="str">
        <f ca="1">_xlfn.CONCAT("  MOV CX, WORD PTR ES:[DI + ", RANDBETWEEN(0, 3), "]")</f>
        <v xml:space="preserve">  MOV CX, WORD PTR ES:[DI + 1]</v>
      </c>
    </row>
    <row r="86" spans="1:5" ht="17.100000000000001" customHeight="1" thickBot="1" x14ac:dyDescent="0.3">
      <c r="A86" s="7"/>
      <c r="B86" s="59"/>
      <c r="C86" s="57" t="s">
        <v>164</v>
      </c>
      <c r="D86" s="10"/>
    </row>
    <row r="87" spans="1:5" ht="17.100000000000001" customHeight="1" thickBot="1" x14ac:dyDescent="0.3">
      <c r="A87" s="7"/>
      <c r="B87" s="59">
        <v>24</v>
      </c>
      <c r="C87" s="57" t="s">
        <v>144</v>
      </c>
      <c r="D87" s="10"/>
    </row>
    <row r="88" spans="1:5" ht="17.100000000000001" customHeight="1" thickBot="1" x14ac:dyDescent="0.3">
      <c r="A88" s="7"/>
      <c r="B88" s="59">
        <v>25</v>
      </c>
      <c r="C88" s="57" t="str">
        <f ca="1">_xlfn.CONCAT("  MOV BX, ", (RANDBETWEEN(0, 3) * 4) )</f>
        <v xml:space="preserve">  MOV BX, 0</v>
      </c>
      <c r="D88" s="10"/>
    </row>
    <row r="89" spans="1:5" ht="17.100000000000001" customHeight="1" thickBot="1" x14ac:dyDescent="0.3">
      <c r="A89" s="7"/>
      <c r="B89" s="59">
        <v>26</v>
      </c>
      <c r="C89" s="57" t="s">
        <v>142</v>
      </c>
      <c r="D89" s="10"/>
    </row>
    <row r="90" spans="1:5" ht="17.100000000000001" customHeight="1" thickBot="1" x14ac:dyDescent="0.3">
      <c r="A90" s="7"/>
      <c r="B90" s="59"/>
      <c r="C90" s="57" t="str">
        <f ca="1">IF(E90="  MOV CX, WORD PTR ES:[DI + 0]", "  MOV CX, WORD PTR ES:[DI]", E90)</f>
        <v xml:space="preserve">  MOV CX, WORD PTR ES:[DI + 2]</v>
      </c>
      <c r="D90" s="10"/>
      <c r="E90" t="str">
        <f ca="1">_xlfn.CONCAT("  MOV CX, WORD PTR ES:[DI + ", RANDBETWEEN(0, 3), "]")</f>
        <v xml:space="preserve">  MOV CX, WORD PTR ES:[DI + 2]</v>
      </c>
    </row>
    <row r="91" spans="1:5" ht="17.100000000000001" customHeight="1" thickBot="1" x14ac:dyDescent="0.3">
      <c r="A91" s="9"/>
      <c r="B91" s="61"/>
      <c r="C91" s="57" t="s">
        <v>167</v>
      </c>
      <c r="D91" s="10"/>
    </row>
    <row r="92" spans="1:5" ht="17.100000000000001" customHeight="1" thickBot="1" x14ac:dyDescent="0.3">
      <c r="A92" s="9"/>
      <c r="B92" s="61"/>
      <c r="C92" s="57" t="s">
        <v>156</v>
      </c>
      <c r="D92" s="10"/>
    </row>
    <row r="93" spans="1:5" ht="17.100000000000001" customHeight="1" thickBot="1" x14ac:dyDescent="0.3">
      <c r="A93" s="9"/>
      <c r="B93" s="61"/>
      <c r="C93" s="57" t="s">
        <v>157</v>
      </c>
      <c r="D93" s="10"/>
    </row>
    <row r="94" spans="1:5" ht="17.100000000000001" customHeight="1" thickBot="1" x14ac:dyDescent="0.3">
      <c r="A94" s="9"/>
      <c r="B94" s="61"/>
      <c r="C94" s="57" t="s">
        <v>168</v>
      </c>
      <c r="D94" s="10"/>
    </row>
    <row r="95" spans="1:5" ht="17.100000000000001" customHeight="1" thickBot="1" x14ac:dyDescent="0.3">
      <c r="A95" s="9"/>
      <c r="B95" s="61"/>
      <c r="C95" s="57" t="s">
        <v>158</v>
      </c>
      <c r="D95" s="10"/>
    </row>
    <row r="96" spans="1:5" ht="17.100000000000001" customHeight="1" thickBot="1" x14ac:dyDescent="0.3">
      <c r="A96" s="9"/>
      <c r="B96" s="61"/>
      <c r="C96" s="57" t="s">
        <v>159</v>
      </c>
      <c r="D96" s="10"/>
    </row>
    <row r="97" spans="1:6" ht="17.100000000000001" customHeight="1" thickBot="1" x14ac:dyDescent="0.3">
      <c r="A97" s="9"/>
      <c r="B97" s="61"/>
      <c r="C97" s="57" t="s">
        <v>180</v>
      </c>
      <c r="D97" s="10"/>
    </row>
    <row r="98" spans="1:6" ht="17.100000000000001" customHeight="1" thickBot="1" x14ac:dyDescent="0.3">
      <c r="A98" s="9"/>
      <c r="B98" s="61"/>
      <c r="C98" s="57" t="str">
        <f ca="1">_xlfn.CONCAT("  MOV BYTE PTR [BP + 1], ", E121)</f>
        <v xml:space="preserve">  MOV BYTE PTR [BP + 1], 2Fh</v>
      </c>
      <c r="D98" s="10"/>
    </row>
    <row r="99" spans="1:6" ht="17.100000000000001" customHeight="1" thickBot="1" x14ac:dyDescent="0.3">
      <c r="A99" s="9"/>
      <c r="B99" s="61"/>
      <c r="C99" s="57" t="str">
        <f ca="1">_xlfn.CONCAT("  MOV WORD PTR [BP - ", ODD( RANDBETWEEN(0, 3) ),"], ", E129)</f>
        <v xml:space="preserve">  MOV WORD PTR [BP - 3], 759Bh</v>
      </c>
      <c r="D99" s="10"/>
      <c r="F99">
        <f ca="1">ODD( RANDBETWEEN(0, 3) )</f>
        <v>3</v>
      </c>
    </row>
    <row r="100" spans="1:6" ht="17.100000000000001" customHeight="1" thickBot="1" x14ac:dyDescent="0.3">
      <c r="A100" s="9"/>
      <c r="B100" s="61"/>
      <c r="C100" s="57" t="str">
        <f ca="1">_xlfn.CONCAT(E100, E130)</f>
        <v xml:space="preserve">  MOV WORD PTR [BP - 3], 0E00Ah</v>
      </c>
      <c r="D100" s="10"/>
      <c r="E100" t="str" cm="1">
        <f t="array" aca="1" ref="E100" ca="1">_xlfn.IFS( F100 &lt; 0, _xlfn.CONCAT( "  MOV WORD PTR [BP - ", ABS(F100), "], " ), F100 = 0, "  MOV WORD PTR [BP], ", F100 &gt; 0, _xlfn.CONCAT( "  MOV WORD PTR [BP + ", F100, "], " ) )</f>
        <v xml:space="preserve">  MOV WORD PTR [BP - 3], </v>
      </c>
      <c r="F100">
        <f ca="1">RANDBETWEEN(-6, 2)</f>
        <v>-3</v>
      </c>
    </row>
    <row r="101" spans="1:6" ht="17.100000000000001" customHeight="1" thickBot="1" x14ac:dyDescent="0.3">
      <c r="A101" s="9"/>
      <c r="B101" s="61"/>
      <c r="C101" s="57" t="str">
        <f ca="1">_xlfn.CONCAT(E101, E122)</f>
        <v xml:space="preserve">  MOV BYTE PTR [BP - 7], 89h</v>
      </c>
      <c r="D101" s="10"/>
      <c r="E101" t="str" cm="1">
        <f t="array" aca="1" ref="E101" ca="1">_xlfn.IFS( F101 &lt; 0, _xlfn.CONCAT( "  MOV BYTE PTR [BP - ", ABS(F101), "], " ), F101 = 0, "  MOV BYTE PTR [BP], ", F101 &gt; 0, _xlfn.CONCAT( "  MOV BYTE PTR [BP + ", F101, "], " ) )</f>
        <v xml:space="preserve">  MOV BYTE PTR [BP - 7], </v>
      </c>
      <c r="F101">
        <f ca="1">RANDBETWEEN(-7, 3)</f>
        <v>-7</v>
      </c>
    </row>
    <row r="102" spans="1:6" ht="17.100000000000001" customHeight="1" thickBot="1" x14ac:dyDescent="0.3">
      <c r="A102" s="9"/>
      <c r="B102" s="61"/>
      <c r="C102" s="57" t="s">
        <v>160</v>
      </c>
      <c r="D102" s="10"/>
    </row>
    <row r="103" spans="1:6" ht="17.100000000000001" customHeight="1" thickBot="1" x14ac:dyDescent="0.3">
      <c r="A103" s="9"/>
      <c r="B103" s="61"/>
      <c r="C103" s="57" t="s">
        <v>181</v>
      </c>
      <c r="D103" s="10"/>
    </row>
    <row r="104" spans="1:6" ht="17.100000000000001" customHeight="1" thickBot="1" x14ac:dyDescent="0.3">
      <c r="A104" s="9"/>
      <c r="B104" s="61"/>
      <c r="C104" s="57" t="s">
        <v>169</v>
      </c>
      <c r="D104" s="10"/>
    </row>
    <row r="105" spans="1:6" ht="17.100000000000001" customHeight="1" thickBot="1" x14ac:dyDescent="0.3">
      <c r="A105" s="9"/>
      <c r="B105" s="61"/>
      <c r="C105" s="57" t="s">
        <v>170</v>
      </c>
      <c r="D105" s="10"/>
    </row>
    <row r="106" spans="1:6" ht="17.100000000000001" customHeight="1" thickBot="1" x14ac:dyDescent="0.3">
      <c r="A106" s="9"/>
      <c r="B106" s="61"/>
      <c r="C106" s="57" t="s">
        <v>36</v>
      </c>
      <c r="D106" s="10"/>
    </row>
    <row r="107" spans="1:6" ht="17.100000000000001" customHeight="1" thickBot="1" x14ac:dyDescent="0.3">
      <c r="A107" s="9"/>
      <c r="B107" s="61"/>
      <c r="C107" s="57" t="s">
        <v>35</v>
      </c>
      <c r="D107" s="10"/>
    </row>
    <row r="108" spans="1:6" ht="17.100000000000001" customHeight="1" thickBot="1" x14ac:dyDescent="0.3">
      <c r="A108" s="9"/>
      <c r="B108" s="80">
        <v>30</v>
      </c>
      <c r="C108" s="57" t="s">
        <v>46</v>
      </c>
      <c r="D108" s="10"/>
    </row>
    <row r="109" spans="1:6" ht="16.5" thickBot="1" x14ac:dyDescent="0.3">
      <c r="A109" s="9"/>
      <c r="B109" s="81"/>
      <c r="C109" s="57" t="s">
        <v>47</v>
      </c>
      <c r="D109" s="10"/>
    </row>
    <row r="110" spans="1:6" ht="16.5" thickBot="1" x14ac:dyDescent="0.3">
      <c r="A110" s="3"/>
      <c r="B110" s="82"/>
      <c r="C110" s="57" t="s">
        <v>48</v>
      </c>
      <c r="D110" s="10"/>
    </row>
    <row r="111" spans="1:6" ht="16.5" thickBot="1" x14ac:dyDescent="0.3">
      <c r="A111" s="1"/>
      <c r="B111" s="59"/>
      <c r="C111" s="57" t="s">
        <v>23</v>
      </c>
      <c r="D111" s="1"/>
    </row>
    <row r="112" spans="1:6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175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0AFh</v>
      </c>
    </row>
    <row r="118" spans="3:5" x14ac:dyDescent="0.25">
      <c r="C118" s="39" t="s">
        <v>103</v>
      </c>
    </row>
    <row r="119" spans="3:5" x14ac:dyDescent="0.25">
      <c r="C119">
        <f ca="1">RANDBETWEEN(1,255)</f>
        <v>116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74h</v>
      </c>
    </row>
    <row r="120" spans="3:5" x14ac:dyDescent="0.25">
      <c r="C120">
        <f ca="1">RANDBETWEEN(1,255)</f>
        <v>54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36h</v>
      </c>
    </row>
    <row r="121" spans="3:5" x14ac:dyDescent="0.25">
      <c r="C121">
        <f ca="1">RANDBETWEEN(1,255)</f>
        <v>47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2Fh</v>
      </c>
    </row>
    <row r="122" spans="3:5" x14ac:dyDescent="0.25">
      <c r="C122">
        <f ca="1">RANDBETWEEN(1,255)</f>
        <v>137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89h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12039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2F07h</v>
      </c>
    </row>
    <row r="125" spans="3:5" x14ac:dyDescent="0.25">
      <c r="C125">
        <f ca="1">RANDBETWEEN(0, 65535)</f>
        <v>27429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6B25h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26513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6791h</v>
      </c>
    </row>
    <row r="128" spans="3:5" x14ac:dyDescent="0.25">
      <c r="C128">
        <f ca="1">RANDBETWEEN(256, 65535)</f>
        <v>22660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5884h</v>
      </c>
    </row>
    <row r="129" spans="3:5" x14ac:dyDescent="0.25">
      <c r="C129">
        <f ca="1">RANDBETWEEN(256, 65535)</f>
        <v>30107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759Bh</v>
      </c>
    </row>
    <row r="130" spans="3:5" x14ac:dyDescent="0.25">
      <c r="C130">
        <f ca="1">RANDBETWEEN(256, 65535)</f>
        <v>57354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0E00Ah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4405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1135h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3985487973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0ED8DB865h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1556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614h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1550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1111110011111100b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far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Sheet3</vt:lpstr>
      <vt:lpstr>Sheet2 (14)</vt:lpstr>
      <vt:lpstr>Sheet2 (13)</vt:lpstr>
      <vt:lpstr>Sheet2 (12)</vt:lpstr>
      <vt:lpstr>Sheet2 (11)</vt:lpstr>
      <vt:lpstr>Sheet2 (10)</vt:lpstr>
      <vt:lpstr>Sheet2 (8)</vt:lpstr>
      <vt:lpstr>Sheet1</vt:lpstr>
      <vt:lpstr>Sheet2</vt:lpstr>
      <vt:lpstr>Sheet2 (2)</vt:lpstr>
      <vt:lpstr>Sheet2 (3)</vt:lpstr>
      <vt:lpstr>Sheet2 (4)</vt:lpstr>
      <vt:lpstr>Sheet2 (5)</vt:lpstr>
      <vt:lpstr>Sheet2 (6)</vt:lpstr>
      <vt:lpstr>Sheet2 (7)</vt:lpstr>
      <vt:lpstr>Sheet2 (9)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Matei</dc:creator>
  <cp:lastModifiedBy>Alex Matei</cp:lastModifiedBy>
  <dcterms:created xsi:type="dcterms:W3CDTF">2021-01-18T10:26:49Z</dcterms:created>
  <dcterms:modified xsi:type="dcterms:W3CDTF">2021-01-21T05:39:49Z</dcterms:modified>
</cp:coreProperties>
</file>